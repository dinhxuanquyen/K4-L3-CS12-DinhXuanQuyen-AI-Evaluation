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90" yWindow="7815" windowWidth="28800" windowHeight="15495" tabRatio="600" firstSheet="0" activeTab="0" autoFilterDateGrouping="1"/>
  </bookViews>
  <sheets>
    <sheet xmlns:r="http://schemas.openxmlformats.org/officeDocument/2006/relationships" name="0_Hướng dẫn" sheetId="1" state="visible" r:id="rId1"/>
    <sheet xmlns:r="http://schemas.openxmlformats.org/officeDocument/2006/relationships" name="0_Tình huống" sheetId="2" state="visible" r:id="rId2"/>
    <sheet xmlns:r="http://schemas.openxmlformats.org/officeDocument/2006/relationships" name="Bài 1" sheetId="3" state="visible" r:id="rId3"/>
    <sheet xmlns:r="http://schemas.openxmlformats.org/officeDocument/2006/relationships" name="Bài 2" sheetId="4" state="visible" r:id="rId4"/>
    <sheet xmlns:r="http://schemas.openxmlformats.org/officeDocument/2006/relationships" name="Bài 3" sheetId="5" state="visible" r:id="rId5"/>
    <sheet xmlns:r="http://schemas.openxmlformats.org/officeDocument/2006/relationships" name="Bài 4" sheetId="6" state="visible" r:id="rId6"/>
    <sheet xmlns:r="http://schemas.openxmlformats.org/officeDocument/2006/relationships" name="Bài 5" sheetId="7" state="visible" r:id="rId7"/>
    <sheet xmlns:r="http://schemas.openxmlformats.org/officeDocument/2006/relationships" name="Xưởng" sheetId="8" state="visible" r:id="rId8"/>
    <sheet xmlns:r="http://schemas.openxmlformats.org/officeDocument/2006/relationships" name="Thang điểm" sheetId="9" state="visible" r:id="rId9"/>
    <sheet xmlns:r="http://schemas.openxmlformats.org/officeDocument/2006/relationships" name="Tổng hợp" sheetId="10" state="visible" r:id="rId10"/>
    <sheet xmlns:r="http://schemas.openxmlformats.org/officeDocument/2006/relationships" name="_ds" sheetId="11" state="hidden" r:id="rId11"/>
  </sheets>
  <definedNames/>
  <calcPr calcId="191029" fullCalcOnLoad="1" iterateDelta="0.0001"/>
</workbook>
</file>

<file path=xl/styles.xml><?xml version="1.0" encoding="utf-8"?>
<styleSheet xmlns="http://schemas.openxmlformats.org/spreadsheetml/2006/main">
  <numFmts count="3">
    <numFmt numFmtId="164" formatCode="#,##0;[Red]\-#,##0"/>
    <numFmt numFmtId="165" formatCode="0.0%"/>
    <numFmt numFmtId="166" formatCode="0.0"/>
  </numFmts>
  <fonts count="8">
    <font>
      <name val="Calibri"/>
      <charset val="1"/>
      <family val="2"/>
      <color theme="1"/>
      <sz val="11"/>
    </font>
    <font>
      <name val="Cambria"/>
      <charset val="1"/>
      <b val="1"/>
      <sz val="14"/>
    </font>
    <font>
      <name val="Cambria"/>
      <charset val="1"/>
      <i val="1"/>
      <color rgb="FF595959"/>
      <sz val="11"/>
    </font>
    <font>
      <name val="Calibri"/>
      <charset val="1"/>
      <b val="1"/>
      <sz val="11"/>
    </font>
    <font>
      <name val="Calibri"/>
      <charset val="1"/>
      <sz val="11"/>
    </font>
    <font>
      <name val="Cambria"/>
      <charset val="1"/>
      <b val="1"/>
      <sz val="11"/>
    </font>
    <font>
      <name val="Cambria"/>
      <charset val="1"/>
      <b val="1"/>
      <color rgb="FFFFFFFF"/>
      <sz val="11"/>
    </font>
    <font>
      <name val="Calibri"/>
      <charset val="1"/>
      <i val="1"/>
      <color rgb="FF595959"/>
      <sz val="10"/>
    </font>
  </fonts>
  <fills count="5">
    <fill>
      <patternFill/>
    </fill>
    <fill>
      <patternFill patternType="gray125"/>
    </fill>
    <fill>
      <patternFill patternType="solid">
        <fgColor rgb="FF1F3864"/>
        <bgColor rgb="FF333333"/>
      </patternFill>
    </fill>
    <fill>
      <patternFill patternType="solid">
        <fgColor rgb="FFFFF2CC"/>
        <bgColor rgb="FFE2EFDA"/>
      </patternFill>
    </fill>
    <fill>
      <patternFill patternType="solid">
        <fgColor rgb="FFE2EFDA"/>
        <bgColor rgb="FFFFF2CC"/>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1">
    <xf numFmtId="0" fontId="0" fillId="0" borderId="0"/>
  </cellStyleXfs>
  <cellXfs count="35">
    <xf numFmtId="0" fontId="0" fillId="0" borderId="0" pivotButton="0" quotePrefix="0" xfId="0"/>
    <xf numFmtId="0" fontId="1" fillId="0" borderId="0" applyAlignment="1" pivotButton="0" quotePrefix="0" xfId="0">
      <alignment vertical="top"/>
    </xf>
    <xf numFmtId="0" fontId="5" fillId="0" borderId="0" applyAlignment="1" pivotButton="0" quotePrefix="0" xfId="0">
      <alignment vertical="top"/>
    </xf>
    <xf numFmtId="0" fontId="6" fillId="2" borderId="1" applyAlignment="1" pivotButton="0" quotePrefix="0" xfId="0">
      <alignment vertical="top" wrapText="1"/>
    </xf>
    <xf numFmtId="0" fontId="4" fillId="0" borderId="1" applyAlignment="1" pivotButton="0" quotePrefix="0" xfId="0">
      <alignment vertical="top" wrapText="1"/>
    </xf>
    <xf numFmtId="0" fontId="3" fillId="0" borderId="1" applyAlignment="1" pivotButton="0" quotePrefix="0" xfId="0">
      <alignment vertical="top" wrapText="1"/>
    </xf>
    <xf numFmtId="1" fontId="4" fillId="3" borderId="1" applyAlignment="1" applyProtection="1" pivotButton="0" quotePrefix="0" xfId="0">
      <alignment vertical="top" wrapText="1"/>
      <protection locked="0" hidden="0"/>
    </xf>
    <xf numFmtId="0" fontId="4" fillId="4" borderId="1" applyAlignment="1" applyProtection="1" pivotButton="0" quotePrefix="0" xfId="0">
      <alignment vertical="top" wrapText="1"/>
      <protection locked="1" hidden="1"/>
    </xf>
    <xf numFmtId="9" fontId="4" fillId="3" borderId="1" applyAlignment="1" applyProtection="1" pivotButton="0" quotePrefix="0" xfId="0">
      <alignment vertical="top" wrapText="1"/>
      <protection locked="0" hidden="0"/>
    </xf>
    <xf numFmtId="164" fontId="4" fillId="3" borderId="1" applyAlignment="1" applyProtection="1" pivotButton="0" quotePrefix="0" xfId="0">
      <alignment vertical="top" wrapText="1"/>
      <protection locked="0" hidden="0"/>
    </xf>
    <xf numFmtId="1" fontId="3" fillId="4" borderId="1" applyAlignment="1" pivotButton="0" quotePrefix="0" xfId="0">
      <alignment vertical="top" wrapText="1"/>
    </xf>
    <xf numFmtId="165" fontId="4" fillId="3" borderId="1" applyAlignment="1" applyProtection="1" pivotButton="0" quotePrefix="0" xfId="0">
      <alignment vertical="top" wrapText="1"/>
      <protection locked="0" hidden="0"/>
    </xf>
    <xf numFmtId="2" fontId="4" fillId="3" borderId="1" applyAlignment="1" applyProtection="1" pivotButton="0" quotePrefix="0" xfId="0">
      <alignment vertical="top" wrapText="1"/>
      <protection locked="0" hidden="0"/>
    </xf>
    <xf numFmtId="1" fontId="4" fillId="4" borderId="1" applyAlignment="1" pivotButton="0" quotePrefix="0" xfId="0">
      <alignment vertical="top" wrapText="1"/>
    </xf>
    <xf numFmtId="165" fontId="3" fillId="4" borderId="1" applyAlignment="1" pivotButton="0" quotePrefix="0" xfId="0">
      <alignment vertical="top" wrapText="1"/>
    </xf>
    <xf numFmtId="9" fontId="4" fillId="0" borderId="1" applyAlignment="1" pivotButton="0" quotePrefix="0" xfId="0">
      <alignment vertical="top" wrapText="1"/>
    </xf>
    <xf numFmtId="166" fontId="4" fillId="0" borderId="1" applyAlignment="1" pivotButton="0" quotePrefix="0" xfId="0">
      <alignment vertical="top" wrapText="1"/>
    </xf>
    <xf numFmtId="166" fontId="3" fillId="4" borderId="1" applyAlignment="1" pivotButton="0" quotePrefix="0" xfId="0">
      <alignment vertical="top" wrapText="1"/>
    </xf>
    <xf numFmtId="2" fontId="3" fillId="4" borderId="1" applyAlignment="1" pivotButton="0" quotePrefix="0" xfId="0">
      <alignment vertical="top" wrapText="1"/>
    </xf>
    <xf numFmtId="1" fontId="4" fillId="0" borderId="1" applyAlignment="1" pivotButton="0" quotePrefix="0" xfId="0">
      <alignment vertical="top" wrapText="1"/>
    </xf>
    <xf numFmtId="0" fontId="4" fillId="4" borderId="1" applyAlignment="1" pivotButton="0" quotePrefix="0" xfId="0">
      <alignment vertical="top" wrapText="1"/>
    </xf>
    <xf numFmtId="0" fontId="4" fillId="0" borderId="0" applyAlignment="1" pivotButton="0" quotePrefix="0" xfId="0">
      <alignment vertical="top" wrapText="1"/>
    </xf>
    <xf numFmtId="0" fontId="0"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7" fillId="0" borderId="0" applyAlignment="1" pivotButton="0" quotePrefix="0" xfId="0">
      <alignment vertical="top" wrapText="1"/>
    </xf>
    <xf numFmtId="0" fontId="3" fillId="0" borderId="1" applyAlignment="1" pivotButton="0" quotePrefix="0" xfId="0">
      <alignment vertical="top" wrapText="1"/>
    </xf>
    <xf numFmtId="0" fontId="0" fillId="0" borderId="2" pivotButton="0" quotePrefix="0" xfId="0"/>
    <xf numFmtId="0" fontId="4" fillId="0" borderId="1" applyAlignment="1" pivotButton="0" quotePrefix="0" xfId="0">
      <alignment vertical="top" wrapText="1"/>
    </xf>
    <xf numFmtId="0" fontId="6" fillId="2" borderId="1" applyAlignment="1" pivotButton="0" quotePrefix="0" xfId="0">
      <alignment vertical="top" wrapText="1"/>
    </xf>
    <xf numFmtId="0" fontId="0" fillId="0" borderId="3" pivotButton="0" quotePrefix="0" xfId="0"/>
    <xf numFmtId="0" fontId="5" fillId="0" borderId="0" applyAlignment="1" pivotButton="0" quotePrefix="0" xfId="0">
      <alignment vertical="top" wrapText="1"/>
    </xf>
    <xf numFmtId="164" fontId="4" fillId="3" borderId="1" applyAlignment="1" applyProtection="1" pivotButton="0" quotePrefix="0" xfId="0">
      <alignment vertical="top" wrapText="1"/>
      <protection locked="0" hidden="0"/>
    </xf>
    <xf numFmtId="0" fontId="0" fillId="0" borderId="2" applyProtection="1" pivotButton="0" quotePrefix="0" xfId="0">
      <protection locked="0" hidden="0"/>
    </xf>
    <xf numFmtId="0" fontId="0" fillId="0" borderId="3" applyProtection="1" pivotButton="0" quotePrefix="0" xfId="0">
      <protection locked="0" hidden="0"/>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30"/>
  <sheetViews>
    <sheetView tabSelected="1" zoomScaleNormal="100" workbookViewId="0">
      <selection activeCell="A1" sqref="A1"/>
    </sheetView>
  </sheetViews>
  <sheetFormatPr baseColWidth="8" defaultColWidth="8.7109375" defaultRowHeight="15"/>
  <cols>
    <col width="16" customWidth="1" style="22" min="1" max="1"/>
    <col width="14" customWidth="1" style="22" min="2" max="2"/>
    <col width="70" customWidth="1" style="22" min="3" max="3"/>
    <col width="12" customWidth="1" style="22" min="4" max="4"/>
  </cols>
  <sheetData>
    <row r="1" ht="17.45" customHeight="1" s="22">
      <c r="A1" s="1" t="inlineStr">
        <is>
          <t>CS12 · Đánh giá sản phẩm AI · Bài tập buổi sáng 16/10/2026</t>
        </is>
      </c>
    </row>
    <row r="2" ht="33" customHeight="1" s="22">
      <c r="A2" s="24" t="inlineStr">
        <is>
          <t>AI in Action · Track 1 · Khóa 4. Bài tập đi kèm bộ slide "AI Evaluation" của chị Mai Anh Nguyen (66 trang). Slide của chị Mai Anh giữ nguyên; file này là phần thực hành.</t>
        </is>
      </c>
    </row>
    <row r="4" ht="33" customHeight="1" s="22">
      <c r="A4" s="23" t="inlineStr">
        <is>
          <t>Luật chơi: CHỈ điền vào ô màu VÀNG. Ô màu XANH LÁ NHẠT tự tính và đã khoá. Cột "Kiểm tra" báo Đúng hoặc Chưa đúng ngay khi điền.</t>
        </is>
      </c>
    </row>
    <row r="5" ht="33" customHeight="1" s="22">
      <c r="A5" s="21" t="inlineStr">
        <is>
          <t>Bài 1–5 (10–12 phút mỗi bài, sau mỗi phần trình chiếu): làm CÁ NHÂN, không tính điểm, để tự biết mình đã hiểu chưa. Chưa đúng: đọc lại trang slide ghi ở cột "Trang", sửa, rồi hỏi trong khung chat.</t>
        </is>
      </c>
    </row>
    <row r="6" ht="33" customHeight="1" s="22">
      <c r="A6" s="21" t="inlineStr">
        <is>
          <t>Xưởng (50 phút, cuối buổi): làm THEO NHÓM 4–6 người trong phòng nhóm. Có chấm điểm theo trang "Thang điểm". Mỗi nhóm nộp 1 file.</t>
        </is>
      </c>
    </row>
    <row r="7" ht="33" customHeight="1" s="22">
      <c r="A7" s="21" t="inlineStr">
        <is>
          <t>Mọi bài dùng chung một tình huống giả định: trợ lý đổi trả của cửa hàng Mộc Store. Đọc trang "0_Tình huống" trước Bài 1 (3 phút).</t>
        </is>
      </c>
    </row>
    <row r="8" ht="33" customHeight="1" s="22">
      <c r="A8" s="21" t="inlineStr">
        <is>
          <t>Tên file nộp: [Nhom]_CS12.xlsx · Nộp lên VLearn trước 13:00 ngày 16/10. Chỉ cần trang Xưởng đã điền; Bài 1–5 điền hay không đều được.</t>
        </is>
      </c>
    </row>
    <row r="9" ht="18" customHeight="1" s="22">
      <c r="A9" s="21" t="inlineStr">
        <is>
          <t>Tỷ lệ gõ kèm dấu % (ví dụ 84%). Số thập phân dùng dấu phẩy hay dấu chấm tùy máy; nếu ô báo "Gõ một số" thì đổi dấu.</t>
        </is>
      </c>
    </row>
    <row r="10" ht="18" customHeight="1" s="22">
      <c r="A10" s="21" t="inlineStr">
        <is>
          <t>Đáp án và giải thích: giảng viên chiếu ngay sau mỗi bài; bản đáp án đầy đủ gửi sau buổi học.</t>
        </is>
      </c>
    </row>
    <row r="12" ht="15" customHeight="1" s="22">
      <c r="A12" s="2" t="inlineStr">
        <is>
          <t>Lịch buổi sáng 16/10 (trực tuyến)</t>
        </is>
      </c>
    </row>
    <row r="13" ht="18" customHeight="1" s="22">
      <c r="A13" s="29" t="inlineStr">
        <is>
          <t>Giờ</t>
        </is>
      </c>
      <c r="B13" s="29" t="inlineStr">
        <is>
          <t>Hoạt động</t>
        </is>
      </c>
      <c r="C13" s="29" t="inlineStr">
        <is>
          <t>Nội dung</t>
        </is>
      </c>
      <c r="D13" s="29" t="inlineStr">
        <is>
          <t>Thời lượng</t>
        </is>
      </c>
    </row>
    <row r="14" ht="33" customHeight="1" s="22">
      <c r="A14" s="28" t="inlineStr">
        <is>
          <t>09:00–09:05</t>
        </is>
      </c>
      <c r="B14" s="28" t="inlineStr">
        <is>
          <t>Mở đầu</t>
        </is>
      </c>
      <c r="C14" s="28" t="inlineStr">
        <is>
          <t>Chào lớp; giới thiệu tình huống Mộc Store (slide bài tập 1–9); trợ giảng gửi đường dẫn tài liệu</t>
        </is>
      </c>
      <c r="D14" s="28" t="n"/>
    </row>
    <row r="15" ht="18" customHeight="1" s="22">
      <c r="A15" s="28" t="inlineStr">
        <is>
          <t>09:05–09:20</t>
        </is>
      </c>
      <c r="B15" s="28" t="inlineStr">
        <is>
          <t>Trình chiếu</t>
        </is>
      </c>
      <c r="C15" s="28" t="inlineStr">
        <is>
          <t>Trang 1–12: khoảng trống đánh giá, tình huống Notion AI</t>
        </is>
      </c>
      <c r="D15" s="28" t="n"/>
    </row>
    <row r="16" ht="18" customHeight="1" s="22">
      <c r="A16" s="28" t="inlineStr">
        <is>
          <t>09:20–09:40</t>
        </is>
      </c>
      <c r="B16" s="28" t="inlineStr">
        <is>
          <t>Trình chiếu</t>
        </is>
      </c>
      <c r="C16" s="28" t="inlineStr">
        <is>
          <t>Phần 01 · trang 13–23: vòng đời đánh giá, báo cáo, tài liệu yêu cầu</t>
        </is>
      </c>
      <c r="D16" s="28" t="n"/>
    </row>
    <row r="17" ht="18" customHeight="1" s="22">
      <c r="A17" s="28" t="inlineStr">
        <is>
          <t>09:40–09:50</t>
        </is>
      </c>
      <c r="B17" s="26" t="inlineStr">
        <is>
          <t>Bài 1</t>
        </is>
      </c>
      <c r="C17" s="28" t="inlineStr">
        <is>
          <t>Đọc báo cáo đánh giá và thu hẹp phạm vi</t>
        </is>
      </c>
      <c r="D17" s="28" t="inlineStr">
        <is>
          <t>10 phút</t>
        </is>
      </c>
    </row>
    <row r="18" ht="18" customHeight="1" s="22">
      <c r="A18" s="28" t="inlineStr">
        <is>
          <t>09:50–10:05</t>
        </is>
      </c>
      <c r="B18" s="28" t="inlineStr">
        <is>
          <t>Trình chiếu</t>
        </is>
      </c>
      <c r="C18" s="28" t="inlineStr">
        <is>
          <t>Phần 02 · trang 24–30: phủ ca, lưới đầu vào, ngân hàng tình huống</t>
        </is>
      </c>
      <c r="D18" s="28" t="n"/>
    </row>
    <row r="19" ht="18" customHeight="1" s="22">
      <c r="A19" s="28" t="inlineStr">
        <is>
          <t>10:05–10:17</t>
        </is>
      </c>
      <c r="B19" s="26" t="inlineStr">
        <is>
          <t>Bài 2</t>
        </is>
      </c>
      <c r="C19" s="28" t="inlineStr">
        <is>
          <t>Phủ ca và chọn tình huống</t>
        </is>
      </c>
      <c r="D19" s="28" t="inlineStr">
        <is>
          <t>12 phút</t>
        </is>
      </c>
    </row>
    <row r="20" ht="18" customHeight="1" s="22">
      <c r="A20" s="28" t="inlineStr">
        <is>
          <t>10:17–10:27</t>
        </is>
      </c>
      <c r="B20" s="28" t="inlineStr">
        <is>
          <t>Nghỉ</t>
        </is>
      </c>
      <c r="C20" s="28" t="inlineStr">
        <is>
          <t>Nghỉ 10 phút</t>
        </is>
      </c>
      <c r="D20" s="28" t="n"/>
    </row>
    <row r="21" ht="18" customHeight="1" s="22">
      <c r="A21" s="28" t="inlineStr">
        <is>
          <t>10:27–10:40</t>
        </is>
      </c>
      <c r="B21" s="28" t="inlineStr">
        <is>
          <t>Trình chiếu</t>
        </is>
      </c>
      <c r="C21" s="28" t="inlineStr">
        <is>
          <t>Phần 03 · trang 31–36: đọc vết thực thi, mã lỗi</t>
        </is>
      </c>
      <c r="D21" s="28" t="n"/>
    </row>
    <row r="22" ht="18" customHeight="1" s="22">
      <c r="A22" s="28" t="inlineStr">
        <is>
          <t>10:40–10:50</t>
        </is>
      </c>
      <c r="B22" s="26" t="inlineStr">
        <is>
          <t>Bài 3</t>
        </is>
      </c>
      <c r="C22" s="28" t="inlineStr">
        <is>
          <t>Đọc vết thực thi, tìm bước sai đầu tiên</t>
        </is>
      </c>
      <c r="D22" s="28" t="inlineStr">
        <is>
          <t>10 phút</t>
        </is>
      </c>
    </row>
    <row r="23" ht="18" customHeight="1" s="22">
      <c r="A23" s="28" t="inlineStr">
        <is>
          <t>10:50–11:12</t>
        </is>
      </c>
      <c r="B23" s="28" t="inlineStr">
        <is>
          <t>Trình chiếu</t>
        </is>
      </c>
      <c r="C23" s="28" t="inlineStr">
        <is>
          <t>Phần 04–05 · trang 37–50: chấm tự động, chấm bằng mã lệnh</t>
        </is>
      </c>
      <c r="D23" s="28" t="n"/>
    </row>
    <row r="24" ht="18" customHeight="1" s="22">
      <c r="A24" s="28" t="inlineStr">
        <is>
          <t>11:12–11:22</t>
        </is>
      </c>
      <c r="B24" s="26" t="inlineStr">
        <is>
          <t>Bài 4</t>
        </is>
      </c>
      <c r="C24" s="28" t="inlineStr">
        <is>
          <t>Chọn cách chấm và ra kết luận</t>
        </is>
      </c>
      <c r="D24" s="28" t="inlineStr">
        <is>
          <t>10 phút</t>
        </is>
      </c>
    </row>
    <row r="25" ht="18" customHeight="1" s="22">
      <c r="A25" s="28" t="inlineStr">
        <is>
          <t>11:22–11:32</t>
        </is>
      </c>
      <c r="B25" s="28" t="inlineStr">
        <is>
          <t>Nghỉ</t>
        </is>
      </c>
      <c r="C25" s="28" t="inlineStr">
        <is>
          <t>Nghỉ 10 phút</t>
        </is>
      </c>
      <c r="D25" s="28" t="n"/>
    </row>
    <row r="26" ht="18" customHeight="1" s="22">
      <c r="A26" s="28" t="inlineStr">
        <is>
          <t>11:32–11:48</t>
        </is>
      </c>
      <c r="B26" s="28" t="inlineStr">
        <is>
          <t>Trình chiếu</t>
        </is>
      </c>
      <c r="C26" s="28" t="inlineStr">
        <is>
          <t>Phần 06 · trang 51–59: hiệu chỉnh giám khảo AI</t>
        </is>
      </c>
      <c r="D26" s="28" t="n"/>
    </row>
    <row r="27" ht="18" customHeight="1" s="22">
      <c r="A27" s="28" t="inlineStr">
        <is>
          <t>11:48–11:58</t>
        </is>
      </c>
      <c r="B27" s="26" t="inlineStr">
        <is>
          <t>Bài 5</t>
        </is>
      </c>
      <c r="C27" s="28" t="inlineStr">
        <is>
          <t>Hiệu chỉnh giám khảo AI</t>
        </is>
      </c>
      <c r="D27" s="28" t="inlineStr">
        <is>
          <t>10 phút</t>
        </is>
      </c>
    </row>
    <row r="28" ht="18" customHeight="1" s="22">
      <c r="A28" s="28" t="inlineStr">
        <is>
          <t>11:58–12:06</t>
        </is>
      </c>
      <c r="B28" s="28" t="inlineStr">
        <is>
          <t>Trình chiếu</t>
        </is>
      </c>
      <c r="C28" s="28" t="inlineStr">
        <is>
          <t>Phần 07 · trang 60–66: đưa chuyên gia vào vòng lặp, tổng kết</t>
        </is>
      </c>
      <c r="D28" s="28" t="n"/>
    </row>
    <row r="29" ht="33" customHeight="1" s="22">
      <c r="A29" s="28" t="inlineStr">
        <is>
          <t>12:06–12:56</t>
        </is>
      </c>
      <c r="B29" s="26" t="inlineStr">
        <is>
          <t>Xưởng</t>
        </is>
      </c>
      <c r="C29" s="28" t="inlineStr">
        <is>
          <t>Hướng dẫn 4 phút; làm trong phòng nhóm 12:10–12:53; soát và nộp 12:53–12:56 (nhóm 4–6 người, có chấm điểm)</t>
        </is>
      </c>
      <c r="D29" s="28" t="inlineStr">
        <is>
          <t>50 phút</t>
        </is>
      </c>
    </row>
    <row r="30" ht="18" customHeight="1" s="22">
      <c r="A30" s="28" t="inlineStr">
        <is>
          <t>12:56–13:00</t>
        </is>
      </c>
      <c r="B30" s="28" t="inlineStr">
        <is>
          <t>Nộp bài</t>
        </is>
      </c>
      <c r="C30" s="28" t="inlineStr">
        <is>
          <t>Nộp file lên VLearn, kết thúc buổi sáng</t>
        </is>
      </c>
      <c r="D30" s="28" t="n"/>
    </row>
  </sheetData>
  <sheetProtection selectLockedCells="0" selectUnlockedCells="0" sheet="1" objects="0" insertRows="1" insertHyperlinks="1" autoFilter="1" scenarios="0" formatColumns="1" deleteColumns="1" insertColumns="1" pivotTables="1" deleteRows="1" formatCells="1" formatRows="1" sort="1" password="C716"/>
  <mergeCells count="8">
    <mergeCell ref="A5:D5"/>
    <mergeCell ref="A9:D9"/>
    <mergeCell ref="A8:D8"/>
    <mergeCell ref="A6:D6"/>
    <mergeCell ref="A4:D4"/>
    <mergeCell ref="A7:D7"/>
    <mergeCell ref="A2:D2"/>
    <mergeCell ref="A10:D10"/>
  </mergeCells>
  <pageMargins left="0.75" right="0.75" top="1" bottom="1" header="0.511811023622047" footer="0.511811023622047"/>
  <pageSetup orientation="landscape" paperSize="9" fitToHeight="0" horizontalDpi="300" verticalDpi="300"/>
</worksheet>
</file>

<file path=xl/worksheets/sheet2.xml><?xml version="1.0" encoding="utf-8"?>
<worksheet xmlns="http://schemas.openxmlformats.org/spreadsheetml/2006/main">
  <sheetPr>
    <outlinePr summaryBelow="1" summaryRight="1"/>
    <pageSetUpPr fitToPage="1"/>
  </sheetPr>
  <dimension ref="A1:C60"/>
  <sheetViews>
    <sheetView zoomScaleNormal="100" workbookViewId="0">
      <selection activeCell="A1" sqref="A1"/>
    </sheetView>
  </sheetViews>
  <sheetFormatPr baseColWidth="8" defaultColWidth="8.7109375" defaultRowHeight="15"/>
  <cols>
    <col width="12" customWidth="1" style="22" min="1" max="1"/>
    <col width="34" customWidth="1" style="22" min="2" max="2"/>
    <col width="70" customWidth="1" style="22" min="3" max="3"/>
  </cols>
  <sheetData>
    <row r="1" ht="17.45" customHeight="1" s="22">
      <c r="A1" s="1" t="inlineStr">
        <is>
          <t>Hồ sơ tình huống · Trợ lý đổi trả của Mộc Store (giả định)</t>
        </is>
      </c>
    </row>
    <row r="2" ht="33" customHeight="1" s="22">
      <c r="A2" s="24" t="inlineStr">
        <is>
          <t>Mộc Store là cửa hàng thời trang bán online (áo, quần, giày) qua website và Zalo. Tình huống giả định, dùng cho toàn bộ buổi sáng.</t>
        </is>
      </c>
    </row>
    <row r="3" ht="18" customHeight="1" s="22">
      <c r="A3" s="21" t="inlineStr">
        <is>
          <t>Trợ lý AI "Mộc" trả lời tin nhắn về đổi hàng, trả hàng và tình trạng đơn. Khoảng 300 tin nhắn loại này mỗi ngày.</t>
        </is>
      </c>
    </row>
    <row r="4" ht="18" customHeight="1" s="22">
      <c r="A4" s="21" t="inlineStr">
        <is>
          <t>Chuyên gia: chị Ngân, trưởng nhóm chăm sóc khách hàng, 6 năm kinh nghiệm. Chị là người định nghĩa thế nào là "đạt".</t>
        </is>
      </c>
    </row>
    <row r="6" ht="15" customHeight="1" s="22">
      <c r="A6" s="2" t="inlineStr">
        <is>
          <t>Chính sách đổi trả</t>
        </is>
      </c>
    </row>
    <row r="7" ht="18" customHeight="1" s="22">
      <c r="A7" s="29" t="inlineStr">
        <is>
          <t>Mã</t>
        </is>
      </c>
      <c r="B7" s="29" t="inlineStr">
        <is>
          <t>Nội dung</t>
        </is>
      </c>
      <c r="C7" s="29" t="inlineStr">
        <is>
          <t>Quy định</t>
        </is>
      </c>
    </row>
    <row r="8" ht="18" customHeight="1" s="22">
      <c r="A8" s="26" t="inlineStr">
        <is>
          <t>CS-1</t>
        </is>
      </c>
      <c r="B8" s="28" t="inlineStr">
        <is>
          <t>Đổi size hoặc màu</t>
        </is>
      </c>
      <c r="C8" s="28" t="inlineStr">
        <is>
          <t>Trong 7 ngày kể từ ngày nhận hàng, hàng còn tem mác. Miễn phí đổi lần đầu.</t>
        </is>
      </c>
    </row>
    <row r="9" ht="33" customHeight="1" s="22">
      <c r="A9" s="26" t="inlineStr">
        <is>
          <t>CS-2</t>
        </is>
      </c>
      <c r="B9" s="28" t="inlineStr">
        <is>
          <t>Trả hàng, hoàn tiền</t>
        </is>
      </c>
      <c r="C9" s="28" t="inlineStr">
        <is>
          <t>Trong 7 ngày kể từ ngày nhận hàng. Tiền hoàn trong 3–5 ngày làm việc sau khi kho nhận lại hàng.</t>
        </is>
      </c>
    </row>
    <row r="10" ht="33" customHeight="1" s="22">
      <c r="A10" s="26" t="inlineStr">
        <is>
          <t>CS-3</t>
        </is>
      </c>
      <c r="B10" s="28" t="inlineStr">
        <is>
          <t>Hàng lỗi (bong keo, rách, sai mẫu)</t>
        </is>
      </c>
      <c r="C10" s="28" t="inlineStr">
        <is>
          <t>Trong 30 ngày kể từ ngày nhận hàng. Trợ lý chuyển nhân viên xử lý, không tự hứa đền bù.</t>
        </is>
      </c>
    </row>
    <row r="11" ht="33" customHeight="1" s="22">
      <c r="A11" s="26" t="inlineStr">
        <is>
          <t>CS-4</t>
        </is>
      </c>
      <c r="B11" s="28" t="inlineStr">
        <is>
          <t>Tra cứu trước khi hứa</t>
        </is>
      </c>
      <c r="C11" s="28" t="inlineStr">
        <is>
          <t>Trước khi xác nhận đổi, trả hay hoàn tiền: phải tra cứu đơn (ngày nhận, trạng thái).</t>
        </is>
      </c>
    </row>
    <row r="12" ht="18" customHeight="1" s="22">
      <c r="A12" s="26" t="inlineStr">
        <is>
          <t>CS-5</t>
        </is>
      </c>
      <c r="B12" s="28" t="inlineStr">
        <is>
          <t>Thiếu mã đơn</t>
        </is>
      </c>
      <c r="C12" s="28" t="inlineStr">
        <is>
          <t>Hỏi mã đơn hoặc số điện thoại đặt hàng. Không đoán đơn.</t>
        </is>
      </c>
    </row>
    <row r="13" ht="18" customHeight="1" s="22">
      <c r="A13" s="26" t="inlineStr">
        <is>
          <t>CS-6</t>
        </is>
      </c>
      <c r="B13" s="28" t="inlineStr">
        <is>
          <t>Khách muốn gặp người</t>
        </is>
      </c>
      <c r="C13" s="28" t="inlineStr">
        <is>
          <t>Khách yêu cầu gặp nhân viên, hoặc khiếu nại hàng lỗi: chuyển nhân viên.</t>
        </is>
      </c>
    </row>
    <row r="15" ht="18" customHeight="1" s="22">
      <c r="A15" s="23" t="inlineStr">
        <is>
          <t>4 nhãn ý định (giống trang 16): Đổi hàng · Trả hàng · Tra cứu đơn · Cần làm rõ</t>
        </is>
      </c>
    </row>
    <row r="16" ht="18" customHeight="1" s="22">
      <c r="A16" s="21" t="inlineStr">
        <is>
          <t>Tin khiếu nại hàng lỗi gắn nhãn Trả hàng kèm cờ "hàng lỗi: có". Tin không rõ đơn nào hoặc không rõ muốn gì gắn nhãn Cần làm rõ.</t>
        </is>
      </c>
    </row>
    <row r="18" ht="15" customHeight="1" s="22">
      <c r="A18" s="2" t="inlineStr">
        <is>
          <t>Công cụ trợ lý gọi được</t>
        </is>
      </c>
    </row>
    <row r="19" ht="18" customHeight="1" s="22">
      <c r="A19" s="29" t="n"/>
      <c r="B19" s="29" t="inlineStr">
        <is>
          <t>Công cụ</t>
        </is>
      </c>
      <c r="C19" s="29" t="inlineStr">
        <is>
          <t>Làm gì</t>
        </is>
      </c>
    </row>
    <row r="20" ht="18" customHeight="1" s="22">
      <c r="A20" s="28" t="inlineStr">
        <is>
          <t>1</t>
        </is>
      </c>
      <c r="B20" s="26" t="inlineStr">
        <is>
          <t>tra_cuu_don</t>
        </is>
      </c>
      <c r="C20" s="28" t="inlineStr">
        <is>
          <t>tra đơn theo mã đơn hoặc số điện thoại; trả về ngày nhận hàng và trạng thái</t>
        </is>
      </c>
    </row>
    <row r="21" ht="18" customHeight="1" s="22">
      <c r="A21" s="28" t="inlineStr">
        <is>
          <t>2</t>
        </is>
      </c>
      <c r="B21" s="26" t="inlineStr">
        <is>
          <t>tao_yeu_cau_doi_tra</t>
        </is>
      </c>
      <c r="C21" s="28" t="inlineStr">
        <is>
          <t>tạo yêu cầu đổi hoặc trả cho một mã đơn</t>
        </is>
      </c>
    </row>
    <row r="22" ht="18" customHeight="1" s="22">
      <c r="A22" s="28" t="inlineStr">
        <is>
          <t>3</t>
        </is>
      </c>
      <c r="B22" s="26" t="inlineStr">
        <is>
          <t>chuyen_nhan_vien</t>
        </is>
      </c>
      <c r="C22" s="28" t="inlineStr">
        <is>
          <t>chuyển cuộc trò chuyện cho nhân viên, kèm lý do</t>
        </is>
      </c>
    </row>
    <row r="23" ht="18" customHeight="1" s="22">
      <c r="A23" s="25" t="inlineStr">
        <is>
          <t>Chưa có công cụ tra tồn kho (dùng ở Bài 4).</t>
        </is>
      </c>
    </row>
    <row r="25" ht="15" customHeight="1" s="22">
      <c r="A25" s="2" t="inlineStr">
        <is>
          <t>Mã lỗi dùng ở Bài 3 và Xưởng (trang 35)</t>
        </is>
      </c>
    </row>
    <row r="26" ht="18" customHeight="1" s="22">
      <c r="A26" s="29" t="n"/>
      <c r="B26" s="29" t="inlineStr">
        <is>
          <t>Mã lỗi</t>
        </is>
      </c>
      <c r="C26" s="29" t="inlineStr">
        <is>
          <t>Nghĩa</t>
        </is>
      </c>
    </row>
    <row r="27" ht="18" customHeight="1" s="22">
      <c r="A27" s="28" t="inlineStr">
        <is>
          <t>1</t>
        </is>
      </c>
      <c r="B27" s="26" t="inlineStr">
        <is>
          <t>wrong_intent</t>
        </is>
      </c>
      <c r="C27" s="28" t="inlineStr">
        <is>
          <t>Hiểu sai nhu cầu chính của khách</t>
        </is>
      </c>
    </row>
    <row r="28" ht="18" customHeight="1" s="22">
      <c r="A28" s="28" t="inlineStr">
        <is>
          <t>2</t>
        </is>
      </c>
      <c r="B28" s="26" t="inlineStr">
        <is>
          <t>missing_lookup</t>
        </is>
      </c>
      <c r="C28" s="28" t="inlineStr">
        <is>
          <t>Không tra cứu dữ liệu trước khi trả lời</t>
        </is>
      </c>
    </row>
    <row r="29" ht="18" customHeight="1" s="22">
      <c r="A29" s="28" t="inlineStr">
        <is>
          <t>3</t>
        </is>
      </c>
      <c r="B29" s="26" t="inlineStr">
        <is>
          <t>premature_commit</t>
        </is>
      </c>
      <c r="C29" s="28" t="inlineStr">
        <is>
          <t>Hứa kết quả khi chưa đủ điều kiện</t>
        </is>
      </c>
    </row>
    <row r="30" ht="18" customHeight="1" s="22">
      <c r="A30" s="28" t="inlineStr">
        <is>
          <t>4</t>
        </is>
      </c>
      <c r="B30" s="26" t="inlineStr">
        <is>
          <t>missing_escalation</t>
        </is>
      </c>
      <c r="C30" s="28" t="inlineStr">
        <is>
          <t>Không chuyển nhân viên khi vượt thẩm quyền</t>
        </is>
      </c>
    </row>
    <row r="31" ht="18" customHeight="1" s="22">
      <c r="A31" s="28" t="inlineStr">
        <is>
          <t>5</t>
        </is>
      </c>
      <c r="B31" s="26" t="inlineStr">
        <is>
          <t>no_next_step</t>
        </is>
      </c>
      <c r="C31" s="28" t="inlineStr">
        <is>
          <t>Đúng chính sách nhưng thiếu bước tiếp theo</t>
        </is>
      </c>
    </row>
    <row r="33" ht="15" customHeight="1" s="22">
      <c r="A33" s="2" t="inlineStr">
        <is>
          <t>Bảng đối chiếu từ ngữ: slide của chị Mai Anh ↔ bài tập</t>
        </is>
      </c>
    </row>
    <row r="34" ht="18" customHeight="1" s="22">
      <c r="A34" s="29" t="n"/>
      <c r="B34" s="29" t="inlineStr">
        <is>
          <t>Trên slide</t>
        </is>
      </c>
      <c r="C34" s="29" t="inlineStr">
        <is>
          <t>Trong bài tập</t>
        </is>
      </c>
    </row>
    <row r="35" ht="18" customHeight="1" s="22">
      <c r="A35" s="28" t="inlineStr">
        <is>
          <t>1</t>
        </is>
      </c>
      <c r="B35" s="28" t="inlineStr">
        <is>
          <t>eval, evals</t>
        </is>
      </c>
      <c r="C35" s="28" t="inlineStr">
        <is>
          <t>bài đánh giá</t>
        </is>
      </c>
    </row>
    <row r="36" ht="18" customHeight="1" s="22">
      <c r="A36" s="28" t="inlineStr">
        <is>
          <t>2</t>
        </is>
      </c>
      <c r="B36" s="28" t="inlineStr">
        <is>
          <t>reference dataset, dataset</t>
        </is>
      </c>
      <c r="C36" s="28" t="inlineStr">
        <is>
          <t>bộ đề chuẩn, bộ đề</t>
        </is>
      </c>
    </row>
    <row r="37" ht="18" customHeight="1" s="22">
      <c r="A37" s="28" t="inlineStr">
        <is>
          <t>3</t>
        </is>
      </c>
      <c r="B37" s="28" t="inlineStr">
        <is>
          <t>golden outputs</t>
        </is>
      </c>
      <c r="C37" s="28" t="inlineStr">
        <is>
          <t>đáp án mẫu</t>
        </is>
      </c>
    </row>
    <row r="38" ht="18" customHeight="1" s="22">
      <c r="A38" s="28" t="inlineStr">
        <is>
          <t>4</t>
        </is>
      </c>
      <c r="B38" s="28" t="inlineStr">
        <is>
          <t>baseline · candidate</t>
        </is>
      </c>
      <c r="C38" s="28" t="inlineStr">
        <is>
          <t>bản đang chạy · bản mới</t>
        </is>
      </c>
    </row>
    <row r="39" ht="18" customHeight="1" s="22">
      <c r="A39" s="28" t="inlineStr">
        <is>
          <t>5</t>
        </is>
      </c>
      <c r="B39" s="28" t="inlineStr">
        <is>
          <t>pass rate</t>
        </is>
      </c>
      <c r="C39" s="28" t="inlineStr">
        <is>
          <t>tỷ lệ đạt</t>
        </is>
      </c>
    </row>
    <row r="40" ht="18" customHeight="1" s="22">
      <c r="A40" s="28" t="inlineStr">
        <is>
          <t>6</t>
        </is>
      </c>
      <c r="B40" s="28" t="inlineStr">
        <is>
          <t>quality gate, threshold</t>
        </is>
      </c>
      <c r="C40" s="28" t="inlineStr">
        <is>
          <t>cổng chất lượng, ngưỡng</t>
        </is>
      </c>
    </row>
    <row r="41" ht="18" customHeight="1" s="22">
      <c r="A41" s="28" t="inlineStr">
        <is>
          <t>7</t>
        </is>
      </c>
      <c r="B41" s="28" t="inlineStr">
        <is>
          <t>regression</t>
        </is>
      </c>
      <c r="C41" s="28" t="inlineStr">
        <is>
          <t>hồi quy: ca trước đạt, nay trượt</t>
        </is>
      </c>
    </row>
    <row r="42" ht="18" customHeight="1" s="22">
      <c r="A42" s="28" t="inlineStr">
        <is>
          <t>8</t>
        </is>
      </c>
      <c r="B42" s="28" t="inlineStr">
        <is>
          <t>slice</t>
        </is>
      </c>
      <c r="C42" s="28" t="inlineStr">
        <is>
          <t>nhóm (cắt theo một thuộc tính)</t>
        </is>
      </c>
    </row>
    <row r="43" ht="18" customHeight="1" s="22">
      <c r="A43" s="28" t="inlineStr">
        <is>
          <t>9</t>
        </is>
      </c>
      <c r="B43" s="28" t="inlineStr">
        <is>
          <t>unit of AI work</t>
        </is>
      </c>
      <c r="C43" s="28" t="inlineStr">
        <is>
          <t>đơn vị công việc AI</t>
        </is>
      </c>
    </row>
    <row r="44" ht="18" customHeight="1" s="22">
      <c r="A44" s="28" t="inlineStr">
        <is>
          <t>10</t>
        </is>
      </c>
      <c r="B44" s="28" t="inlineStr">
        <is>
          <t>dimension</t>
        </is>
      </c>
      <c r="C44" s="28" t="inlineStr">
        <is>
          <t>chiều</t>
        </is>
      </c>
    </row>
    <row r="45" ht="18" customHeight="1" s="22">
      <c r="A45" s="28" t="inlineStr">
        <is>
          <t>11</t>
        </is>
      </c>
      <c r="B45" s="28" t="inlineStr">
        <is>
          <t>User Input Grid</t>
        </is>
      </c>
      <c r="C45" s="28" t="inlineStr">
        <is>
          <t>lưới đầu vào</t>
        </is>
      </c>
    </row>
    <row r="46" ht="33" customHeight="1" s="22">
      <c r="A46" s="28" t="inlineStr">
        <is>
          <t>12</t>
        </is>
      </c>
      <c r="B46" s="28" t="inlineStr">
        <is>
          <t>representative · challenge · critical regression</t>
        </is>
      </c>
      <c r="C46" s="28" t="inlineStr">
        <is>
          <t>đại diện · thử thách · hồi quy nghiêm trọng</t>
        </is>
      </c>
    </row>
    <row r="47" ht="18" customHeight="1" s="22">
      <c r="A47" s="28" t="inlineStr">
        <is>
          <t>13</t>
        </is>
      </c>
      <c r="B47" s="28" t="inlineStr">
        <is>
          <t>trace · transcript</t>
        </is>
      </c>
      <c r="C47" s="28" t="inlineStr">
        <is>
          <t>vết thực thi · lời trợ lý nói</t>
        </is>
      </c>
    </row>
    <row r="48" ht="18" customHeight="1" s="22">
      <c r="A48" s="28" t="inlineStr">
        <is>
          <t>14</t>
        </is>
      </c>
      <c r="B48" s="28" t="inlineStr">
        <is>
          <t>trace codes</t>
        </is>
      </c>
      <c r="C48" s="28" t="inlineStr">
        <is>
          <t>mã lỗi (giữ nguyên tên như trang 35)</t>
        </is>
      </c>
    </row>
    <row r="49" ht="33" customHeight="1" s="22">
      <c r="A49" s="28" t="inlineStr">
        <is>
          <t>15</t>
        </is>
      </c>
      <c r="B49" s="28" t="inlineStr">
        <is>
          <t>specification gap · architectural issue · generalization gap</t>
        </is>
      </c>
      <c r="C49" s="28" t="inlineStr">
        <is>
          <t>thiếu đặc tả · thiếu năng lực hệ thống · thiếu nhất quán</t>
        </is>
      </c>
    </row>
    <row r="50" ht="18" customHeight="1" s="22">
      <c r="A50" s="28" t="inlineStr">
        <is>
          <t>16</t>
        </is>
      </c>
      <c r="B50" s="28" t="inlineStr">
        <is>
          <t>code-based eval</t>
        </is>
      </c>
      <c r="C50" s="28" t="inlineStr">
        <is>
          <t>chấm bằng mã lệnh</t>
        </is>
      </c>
    </row>
    <row r="51" ht="18" customHeight="1" s="22">
      <c r="A51" s="28" t="inlineStr">
        <is>
          <t>17</t>
        </is>
      </c>
      <c r="B51" s="28" t="inlineStr">
        <is>
          <t>LLM judge, LLM-as-judge</t>
        </is>
      </c>
      <c r="C51" s="28" t="inlineStr">
        <is>
          <t>giám khảo AI</t>
        </is>
      </c>
    </row>
    <row r="52" ht="18" customHeight="1" s="22">
      <c r="A52" s="28" t="inlineStr">
        <is>
          <t>18</t>
        </is>
      </c>
      <c r="B52" s="28" t="inlineStr">
        <is>
          <t>referent</t>
        </is>
      </c>
      <c r="C52" s="28" t="inlineStr">
        <is>
          <t>căn cứ kiểm chứng</t>
        </is>
      </c>
    </row>
    <row r="53" ht="18" customHeight="1" s="22">
      <c r="A53" s="28" t="inlineStr">
        <is>
          <t>19</t>
        </is>
      </c>
      <c r="B53" s="28" t="inlineStr">
        <is>
          <t>calibration</t>
        </is>
      </c>
      <c r="C53" s="28" t="inlineStr">
        <is>
          <t>hiệu chỉnh</t>
        </is>
      </c>
    </row>
    <row r="54" ht="18" customHeight="1" s="22">
      <c r="A54" s="28" t="inlineStr">
        <is>
          <t>20</t>
        </is>
      </c>
      <c r="B54" s="28" t="inlineStr">
        <is>
          <t>TPR</t>
        </is>
      </c>
      <c r="C54" s="28" t="inlineStr">
        <is>
          <t>tỷ lệ nhận đúng ca đạt</t>
        </is>
      </c>
    </row>
    <row r="55" ht="18" customHeight="1" s="22">
      <c r="A55" s="28" t="inlineStr">
        <is>
          <t>21</t>
        </is>
      </c>
      <c r="B55" s="28" t="inlineStr">
        <is>
          <t>TNR</t>
        </is>
      </c>
      <c r="C55" s="28" t="inlineStr">
        <is>
          <t>tỷ lệ bắt đúng ca trượt</t>
        </is>
      </c>
    </row>
    <row r="56" ht="18" customHeight="1" s="22">
      <c r="A56" s="28" t="inlineStr">
        <is>
          <t>22</t>
        </is>
      </c>
      <c r="B56" s="28" t="inlineStr">
        <is>
          <t>near-miss example</t>
        </is>
      </c>
      <c r="C56" s="28" t="inlineStr">
        <is>
          <t>ví dụ sát ranh</t>
        </is>
      </c>
    </row>
    <row r="57" ht="18" customHeight="1" s="22">
      <c r="A57" s="28" t="inlineStr">
        <is>
          <t>23</t>
        </is>
      </c>
      <c r="B57" s="28" t="inlineStr">
        <is>
          <t>dev set · test set</t>
        </is>
      </c>
      <c r="C57" s="28" t="inlineStr">
        <is>
          <t>tập hiệu chỉnh · tập kiểm tra giữ riêng</t>
        </is>
      </c>
    </row>
    <row r="58" ht="18" customHeight="1" s="22">
      <c r="A58" s="28" t="inlineStr">
        <is>
          <t>24</t>
        </is>
      </c>
      <c r="B58" s="28" t="inlineStr">
        <is>
          <t>Ship · Iterate · Revert</t>
        </is>
      </c>
      <c r="C58" s="28" t="inlineStr">
        <is>
          <t>Phát hành · Lặp tiếp · Quay về bản cũ</t>
        </is>
      </c>
    </row>
    <row r="59" ht="18" customHeight="1" s="22">
      <c r="A59" s="28" t="inlineStr">
        <is>
          <t>25</t>
        </is>
      </c>
      <c r="B59" s="28" t="inlineStr">
        <is>
          <t>prompt · tool call · latency</t>
        </is>
      </c>
      <c r="C59" s="28" t="inlineStr">
        <is>
          <t>câu lệnh · lời gọi công cụ · thời gian phản hồi</t>
        </is>
      </c>
    </row>
    <row r="60" ht="18" customHeight="1" s="22">
      <c r="A60" s="28" t="inlineStr">
        <is>
          <t>26</t>
        </is>
      </c>
      <c r="B60" s="28" t="inlineStr">
        <is>
          <t>expert in the loop</t>
        </is>
      </c>
      <c r="C60" s="28" t="inlineStr">
        <is>
          <t>đưa chuyên gia vào vòng lặp</t>
        </is>
      </c>
    </row>
  </sheetData>
  <sheetProtection selectLockedCells="0" selectUnlockedCells="0" sheet="1" objects="0" insertRows="1" insertHyperlinks="1" autoFilter="1" scenarios="0" formatColumns="1" deleteColumns="1" insertColumns="1" pivotTables="1" deleteRows="1" formatCells="1" formatRows="1" sort="1" password="C716"/>
  <mergeCells count="6">
    <mergeCell ref="A23:C23"/>
    <mergeCell ref="A2:C2"/>
    <mergeCell ref="A3:C3"/>
    <mergeCell ref="A15:C15"/>
    <mergeCell ref="A4:C4"/>
    <mergeCell ref="A16:C16"/>
  </mergeCells>
  <pageMargins left="0.75" right="0.75" top="1" bottom="1" header="0.511811023622047" footer="0.511811023622047"/>
  <pageSetup orientation="landscape" paperSize="9" fitToHeight="0" horizontalDpi="300" verticalDpi="300"/>
</worksheet>
</file>

<file path=xl/worksheets/sheet3.xml><?xml version="1.0" encoding="utf-8"?>
<worksheet xmlns="http://schemas.openxmlformats.org/spreadsheetml/2006/main">
  <sheetPr>
    <outlinePr summaryBelow="1" summaryRight="1"/>
    <pageSetUpPr fitToPage="1"/>
  </sheetPr>
  <dimension ref="A1:E29"/>
  <sheetViews>
    <sheetView zoomScaleNormal="100" workbookViewId="0">
      <selection activeCell="A1" sqref="A1"/>
    </sheetView>
  </sheetViews>
  <sheetFormatPr baseColWidth="8" defaultColWidth="8.7109375" defaultRowHeight="15"/>
  <cols>
    <col width="7" customWidth="1" style="22" min="1" max="1"/>
    <col width="70" customWidth="1" style="22" min="2" max="2"/>
    <col width="22" customWidth="1" style="22" min="3" max="3"/>
    <col width="14" customWidth="1" style="22" min="4" max="4"/>
    <col width="13" customWidth="1" style="22" min="5" max="5"/>
  </cols>
  <sheetData>
    <row r="1" ht="17.45" customHeight="1" s="22">
      <c r="A1" s="1" t="inlineStr">
        <is>
          <t>Bài 1 · Đọc báo cáo đánh giá và thu hẹp phạm vi (10 phút) · sau Phần 01 · trang 13–23</t>
        </is>
      </c>
    </row>
    <row r="2" ht="18" customHeight="1" s="22">
      <c r="A2" s="24" t="inlineStr">
        <is>
          <t>Làm cá nhân, không tính điểm. Điền ô vàng ở cột C; cột D tự báo kết quả.</t>
        </is>
      </c>
    </row>
    <row r="4" ht="18" customHeight="1" s="22">
      <c r="A4" s="21" t="inlineStr">
        <is>
          <t>Nhóm vừa đổi câu lệnh của trợ lý Mộc (v1.3 → v1.4) và chạy lại trên bộ đề chuẩn 50 tin nhắn đã có nhãn đúng.</t>
        </is>
      </c>
    </row>
    <row r="5" ht="18" customHeight="1" s="22">
      <c r="A5" s="21" t="inlineStr">
        <is>
          <t>Cổng chất lượng chốt trước khi chạy: tỷ lệ đúng tổng từ 82% trở lên.</t>
        </is>
      </c>
    </row>
    <row r="6" ht="18" customHeight="1" s="22">
      <c r="A6" s="21" t="inlineStr">
        <is>
          <t>Có 3 tin "hồi quy" (v1.3 đúng, v1.4 sai), cả 3 nằm ở nhóm Tra cứu đơn.</t>
        </is>
      </c>
    </row>
    <row r="8" ht="33" customHeight="1" s="22">
      <c r="A8" s="29" t="inlineStr">
        <is>
          <t>Nhóm ý định</t>
        </is>
      </c>
      <c r="B8" s="27" t="n"/>
      <c r="C8" s="29" t="inlineStr">
        <is>
          <t>Số tin trong bộ đề</t>
        </is>
      </c>
      <c r="D8" s="29" t="inlineStr">
        <is>
          <t>v1.3 đúng (bản đang chạy)</t>
        </is>
      </c>
      <c r="E8" s="29" t="inlineStr">
        <is>
          <t>v1.4 đúng (bản mới)</t>
        </is>
      </c>
    </row>
    <row r="9" ht="18" customHeight="1" s="22">
      <c r="A9" s="28" t="inlineStr">
        <is>
          <t>Đổi hàng</t>
        </is>
      </c>
      <c r="B9" s="27" t="n"/>
      <c r="C9" s="28" t="n">
        <v>20</v>
      </c>
      <c r="D9" s="28" t="n">
        <v>16</v>
      </c>
      <c r="E9" s="28" t="n">
        <v>19</v>
      </c>
    </row>
    <row r="10" ht="18" customHeight="1" s="22">
      <c r="A10" s="28" t="inlineStr">
        <is>
          <t>Trả hàng</t>
        </is>
      </c>
      <c r="B10" s="27" t="n"/>
      <c r="C10" s="28" t="n">
        <v>20</v>
      </c>
      <c r="D10" s="28" t="n">
        <v>15</v>
      </c>
      <c r="E10" s="28" t="n">
        <v>17</v>
      </c>
    </row>
    <row r="11" ht="18" customHeight="1" s="22">
      <c r="A11" s="28" t="inlineStr">
        <is>
          <t>Tra cứu đơn</t>
        </is>
      </c>
      <c r="B11" s="27" t="n"/>
      <c r="C11" s="28" t="n">
        <v>10</v>
      </c>
      <c r="D11" s="28" t="n">
        <v>9</v>
      </c>
      <c r="E11" s="28" t="n">
        <v>6</v>
      </c>
    </row>
    <row r="12" ht="18" customHeight="1" s="22">
      <c r="A12" s="26" t="inlineStr">
        <is>
          <t>Tổng</t>
        </is>
      </c>
      <c r="B12" s="27" t="n"/>
      <c r="C12" s="26" t="n">
        <v>50</v>
      </c>
      <c r="D12" s="26" t="n">
        <v>40</v>
      </c>
      <c r="E12" s="26" t="n">
        <v>42</v>
      </c>
    </row>
    <row r="14" ht="33" customHeight="1" s="22">
      <c r="A14" s="21" t="inlineStr">
        <is>
          <t>Câu 1.6: A. Phát hành ngay: tổng tăng 4 điểm và đã qua cổng.  ·  B. Chưa phát hành: mở đọc 3 tin hồi quy ở nhóm Tra cứu đơn, hiểu vì sao sai rồi mới quyết định.  ·  C. Quay về v1.3: tổng chỉ tăng 2 tin, chắc chắn là nhiễu.</t>
        </is>
      </c>
    </row>
    <row r="15" ht="33" customHeight="1" s="22">
      <c r="A15" s="21" t="inlineStr">
        <is>
          <t>Câu 1.8: A. Làm khách hài lòng hơn mỗi khi đổi trả.  ·  B. Đọc 1 tin nhắn đổi trả → gắn đúng 1 trong 4 nhãn ý định, dưới 2 giây.  ·  C. Trả lời mọi câu hỏi của khách về đơn hàng và chính sách.</t>
        </is>
      </c>
    </row>
    <row r="16" ht="18" customHeight="1" s="22">
      <c r="A16" s="21" t="inlineStr">
        <is>
          <t>Câu 1.9: Trục 1. Tách theo việc  ·  Trục 2. Tách theo điều kiện đầu vào  ·  Trục 3. Tách theo mức tự chủ</t>
        </is>
      </c>
    </row>
    <row r="18" ht="18" customHeight="1" s="22">
      <c r="A18" s="29" t="inlineStr">
        <is>
          <t>Câu</t>
        </is>
      </c>
      <c r="B18" s="29" t="inlineStr">
        <is>
          <t>Đề</t>
        </is>
      </c>
      <c r="C18" s="29" t="inlineStr">
        <is>
          <t>Trả lời</t>
        </is>
      </c>
      <c r="D18" s="29" t="inlineStr">
        <is>
          <t>Kiểm tra</t>
        </is>
      </c>
      <c r="E18" s="29" t="inlineStr">
        <is>
          <t>Trang</t>
        </is>
      </c>
    </row>
    <row r="19" ht="33" customHeight="1" s="22">
      <c r="A19" s="26" t="inlineStr">
        <is>
          <t>1.1</t>
        </is>
      </c>
      <c r="B19" s="28" t="inlineStr">
        <is>
          <t>Trên bộ 50 tin, 1 tin đổi kết quả làm tỷ lệ đúng thay đổi bao nhiêu điểm phần trăm? (gõ một số)</t>
        </is>
      </c>
      <c r="C19" s="6" t="n">
        <v>2</v>
      </c>
      <c r="D19" s="7">
        <f>IF(C19="","",IF(ISNUMBER(C19),IF(ABS(C19-2)&lt;=0.01,"Đúng","Chưa đúng"),"Gõ một số"))</f>
        <v/>
      </c>
      <c r="E19" s="28" t="inlineStr">
        <is>
          <t>18</t>
        </is>
      </c>
    </row>
    <row r="20" ht="18" customHeight="1" s="22">
      <c r="A20" s="26" t="inlineStr">
        <is>
          <t>1.2</t>
        </is>
      </c>
      <c r="B20" s="28" t="inlineStr">
        <is>
          <t>Tỷ lệ đúng tổng của v1.4 là bao nhiêu? (gõ kèm %)</t>
        </is>
      </c>
      <c r="C20" s="8" t="n">
        <v>0.84</v>
      </c>
      <c r="D20" s="7">
        <f>IF(C20="","",IF(ISNUMBER(C20),IF(OR(ABS(C20-0.84)&lt;=0.006,ABS(C20-84)&lt;=0.6),"Đúng","Chưa đúng"),"Gõ một số"))</f>
        <v/>
      </c>
      <c r="E20" s="28" t="inlineStr">
        <is>
          <t>18</t>
        </is>
      </c>
    </row>
    <row r="21" ht="18" customHeight="1" s="22">
      <c r="A21" s="26" t="inlineStr">
        <is>
          <t>1.3</t>
        </is>
      </c>
      <c r="B21" s="28" t="inlineStr">
        <is>
          <t>v1.4 có qua cổng chất lượng (≥ 82%) không?  (chọn: Có / Không)</t>
        </is>
      </c>
      <c r="C21" s="32" t="inlineStr">
        <is>
          <t>Có</t>
        </is>
      </c>
      <c r="D21" s="7">
        <f>IF(C21="","",IF(C21="Có","Đúng","Chưa đúng"))</f>
        <v/>
      </c>
      <c r="E21" s="28" t="inlineStr">
        <is>
          <t>18</t>
        </is>
      </c>
    </row>
    <row r="22" ht="18" customHeight="1" s="22">
      <c r="A22" s="26" t="inlineStr">
        <is>
          <t>1.4</t>
        </is>
      </c>
      <c r="B22" s="28" t="inlineStr">
        <is>
          <t>Tỷ lệ đúng của nhóm Tra cứu đơn ở v1.4 là bao nhiêu? (gõ kèm %)</t>
        </is>
      </c>
      <c r="C22" s="8" t="n">
        <v>0.6</v>
      </c>
      <c r="D22" s="7">
        <f>IF(C22="","",IF(ISNUMBER(C22),IF(OR(ABS(C22-0.6)&lt;=0.006,ABS(C22-60)&lt;=0.6),"Đúng","Chưa đúng"),"Gõ một số"))</f>
        <v/>
      </c>
      <c r="E22" s="28" t="inlineStr">
        <is>
          <t>18</t>
        </is>
      </c>
    </row>
    <row r="23" ht="18" customHeight="1" s="22">
      <c r="A23" s="26" t="inlineStr">
        <is>
          <t>1.5</t>
        </is>
      </c>
      <c r="B23" s="28" t="inlineStr">
        <is>
          <t>Nhóm Tra cứu đơn tụt bao nhiêu điểm phần trăm? (gõ một số)</t>
        </is>
      </c>
      <c r="C23" s="6" t="n">
        <v>30</v>
      </c>
      <c r="D23" s="7">
        <f>IF(C23="","",IF(ISNUMBER(C23),IF(ABS(C23-30)&lt;=0.01,"Đúng","Chưa đúng"),"Gõ một số"))</f>
        <v/>
      </c>
      <c r="E23" s="28" t="inlineStr">
        <is>
          <t>18</t>
        </is>
      </c>
    </row>
    <row r="24" ht="18" customHeight="1" s="22">
      <c r="A24" s="26" t="inlineStr">
        <is>
          <t>1.6</t>
        </is>
      </c>
      <c r="B24" s="28" t="inlineStr">
        <is>
          <t>Kết luận nào đúng?</t>
        </is>
      </c>
      <c r="C24" s="32" t="inlineStr">
        <is>
          <t>B</t>
        </is>
      </c>
      <c r="D24" s="7">
        <f>IF(C24="","",IF(C24="B","Đúng","Chưa đúng"))</f>
        <v/>
      </c>
      <c r="E24" s="28" t="inlineStr">
        <is>
          <t>18</t>
        </is>
      </c>
    </row>
    <row r="25" ht="33" customHeight="1" s="22">
      <c r="A25" s="26" t="inlineStr">
        <is>
          <t>1.7</t>
        </is>
      </c>
      <c r="B25" s="28" t="inlineStr">
        <is>
          <t>Muốn tin một khoảng chênh 3 điểm phần trăm là thật (độ tin 95%), cần khoảng bao nhiêu ca?  (chọn: Khoảng 100 ca / Khoảng 1.000 ca / Khoảng 10.000 ca)</t>
        </is>
      </c>
      <c r="C25" s="32" t="inlineStr">
        <is>
          <t>Khoảng 1.000 ca</t>
        </is>
      </c>
      <c r="D25" s="7">
        <f>IF(C25="","",IF(C25="Khoảng 1.000 ca","Đúng","Chưa đúng"))</f>
        <v/>
      </c>
      <c r="E25" s="28" t="inlineStr">
        <is>
          <t>18</t>
        </is>
      </c>
    </row>
    <row r="26" ht="33" customHeight="1" s="22">
      <c r="A26" s="26" t="inlineStr">
        <is>
          <t>1.8</t>
        </is>
      </c>
      <c r="B26" s="28" t="inlineStr">
        <is>
          <t>Mục tiêu "Dùng AI để chăm sóc khách đổi trả tốt hơn" quá rộng. Câu nào là đơn vị công việc AI đo được?</t>
        </is>
      </c>
      <c r="C26" s="32" t="inlineStr">
        <is>
          <t>B</t>
        </is>
      </c>
      <c r="D26" s="7">
        <f>IF(C26="","",IF(C26="B","Đúng","Chưa đúng"))</f>
        <v/>
      </c>
      <c r="E26" s="28" t="inlineStr">
        <is>
          <t>23</t>
        </is>
      </c>
    </row>
    <row r="27" ht="33" customHeight="1" s="22">
      <c r="A27" s="26" t="inlineStr">
        <is>
          <t>1.9</t>
        </is>
      </c>
      <c r="B27" s="28" t="inlineStr">
        <is>
          <t>Tách "tin nhắn rõ ràng" và "tin nhắn mơ hồ" để đặt kỳ vọng khác nhau (tin mơ hồ thì hỏi lại) là thu hẹp theo trục nào?</t>
        </is>
      </c>
      <c r="C27" s="32" t="inlineStr">
        <is>
          <t>Trục 2</t>
        </is>
      </c>
      <c r="D27" s="7">
        <f>IF(C27="","",IF(C27="Trục 2","Đúng","Chưa đúng"))</f>
        <v/>
      </c>
      <c r="E27" s="28" t="inlineStr">
        <is>
          <t>23</t>
        </is>
      </c>
    </row>
    <row r="29" ht="18" customHeight="1" s="22">
      <c r="A29" s="26" t="inlineStr">
        <is>
          <t>Số câu đúng</t>
        </is>
      </c>
      <c r="B29" s="27" t="n"/>
      <c r="C29" s="10">
        <f>COUNTIF(D19:D27,"Đúng")</f>
        <v/>
      </c>
      <c r="D29" s="28" t="inlineStr">
        <is>
          <t>/ 9 câu</t>
        </is>
      </c>
    </row>
  </sheetData>
  <sheetProtection selectLockedCells="0" selectUnlockedCells="0" sheet="1" objects="0" insertRows="1" insertHyperlinks="1" autoFilter="1" scenarios="0" formatColumns="1" deleteColumns="1" insertColumns="1" pivotTables="1" deleteRows="1" formatCells="1" formatRows="1" sort="1" password="C716"/>
  <mergeCells count="13">
    <mergeCell ref="A4:E4"/>
    <mergeCell ref="A29:B29"/>
    <mergeCell ref="A2:E2"/>
    <mergeCell ref="A16:E16"/>
    <mergeCell ref="A15:E15"/>
    <mergeCell ref="A11:B11"/>
    <mergeCell ref="A10:B10"/>
    <mergeCell ref="A5:E5"/>
    <mergeCell ref="A14:E14"/>
    <mergeCell ref="A9:B9"/>
    <mergeCell ref="A6:E6"/>
    <mergeCell ref="A8:B8"/>
    <mergeCell ref="A12:B12"/>
  </mergeCells>
  <pageMargins left="0.75" right="0.75" top="1" bottom="1" header="0.511811023622047" footer="0.511811023622047"/>
  <pageSetup orientation="landscape" paperSize="9" fitToHeight="0" horizontalDpi="300" verticalDpi="300"/>
</worksheet>
</file>

<file path=xl/worksheets/sheet4.xml><?xml version="1.0" encoding="utf-8"?>
<worksheet xmlns="http://schemas.openxmlformats.org/spreadsheetml/2006/main">
  <sheetPr>
    <outlinePr summaryBelow="1" summaryRight="1"/>
    <pageSetUpPr fitToPage="1"/>
  </sheetPr>
  <dimension ref="A1:E25"/>
  <sheetViews>
    <sheetView zoomScaleNormal="100" workbookViewId="0">
      <selection activeCell="A1" sqref="A1"/>
    </sheetView>
  </sheetViews>
  <sheetFormatPr baseColWidth="8" defaultColWidth="8.7109375" defaultRowHeight="15"/>
  <cols>
    <col width="7" customWidth="1" style="22" min="1" max="1"/>
    <col width="70" customWidth="1" style="22" min="2" max="2"/>
    <col width="22" customWidth="1" style="22" min="3" max="3"/>
    <col width="14" customWidth="1" style="22" min="4" max="4"/>
    <col width="13" customWidth="1" style="22" min="5" max="5"/>
  </cols>
  <sheetData>
    <row r="1" ht="17.45" customHeight="1" s="22">
      <c r="A1" s="1" t="inlineStr">
        <is>
          <t>Bài 2 · Phủ ca và chọn tình huống (12 phút) · sau Phần 02 · trang 24–30</t>
        </is>
      </c>
    </row>
    <row r="2" ht="18" customHeight="1" s="22">
      <c r="A2" s="24" t="inlineStr">
        <is>
          <t>Làm cá nhân, không tính điểm. Điền ô vàng ở cột C; cột D tự báo kết quả.</t>
        </is>
      </c>
    </row>
    <row r="4" ht="18" customHeight="1" s="22">
      <c r="A4" s="21" t="inlineStr">
        <is>
          <t>Phép thử chiều (trang 26): đổi giá trị của một thuộc tính trong tin nhắn → hành vi đúng của trợ lý có đổi không?</t>
        </is>
      </c>
    </row>
    <row r="5" ht="18" customHeight="1" s="22">
      <c r="A5" s="21" t="inlineStr">
        <is>
          <t>Có đổi → là một chiều của lưới. Không đổi → chỉ là cách diễn đạt, để AI viết lại, không tốn một chiều.</t>
        </is>
      </c>
    </row>
    <row r="7" ht="33" customHeight="1" s="22">
      <c r="A7" s="21" t="inlineStr">
        <is>
          <t>Câu 2.14: A. Nhờ AI tạo 50 câu kiểm thử là đủ phủ.  ·  B. Người chọn ô cần thử trên lưới; AI chỉ viết thêm cách diễn đạt cho từng ô.  ·  C. Càng nhiều dòng thì bộ đề càng phủ tốt.</t>
        </is>
      </c>
    </row>
    <row r="9" ht="18" customHeight="1" s="22">
      <c r="A9" s="29" t="inlineStr">
        <is>
          <t>Câu</t>
        </is>
      </c>
      <c r="B9" s="29" t="inlineStr">
        <is>
          <t>Đề</t>
        </is>
      </c>
      <c r="C9" s="29" t="inlineStr">
        <is>
          <t>Trả lời</t>
        </is>
      </c>
      <c r="D9" s="29" t="inlineStr">
        <is>
          <t>Kiểm tra</t>
        </is>
      </c>
      <c r="E9" s="29" t="inlineStr">
        <is>
          <t>Trang</t>
        </is>
      </c>
    </row>
    <row r="10" ht="18" customHeight="1" s="22">
      <c r="A10" s="26" t="inlineStr">
        <is>
          <t>2.1</t>
        </is>
      </c>
      <c r="B10" s="28" t="inlineStr">
        <is>
          <t>Khách viết có dấu hay không dấu. Đây có phải một chiều?  (chọn: Có / Không)</t>
        </is>
      </c>
      <c r="C10" s="32" t="inlineStr">
        <is>
          <t>Không</t>
        </is>
      </c>
      <c r="D10" s="7">
        <f>IF(C10="","",IF(C10="Không","Đúng","Chưa đúng"))</f>
        <v/>
      </c>
      <c r="E10" s="28" t="inlineStr">
        <is>
          <t>26</t>
        </is>
      </c>
    </row>
    <row r="11" ht="33" customHeight="1" s="22">
      <c r="A11" s="26" t="inlineStr">
        <is>
          <t>2.2</t>
        </is>
      </c>
      <c r="B11" s="28" t="inlineStr">
        <is>
          <t>Tin nhắn có mã đơn hay không có mã đơn. Đây có phải một chiều?  (chọn: Có / Không)</t>
        </is>
      </c>
      <c r="C11" s="32" t="inlineStr">
        <is>
          <t>Có</t>
        </is>
      </c>
      <c r="D11" s="7">
        <f>IF(C11="","",IF(C11="Có","Đúng","Chưa đúng"))</f>
        <v/>
      </c>
      <c r="E11" s="28" t="inlineStr">
        <is>
          <t>26</t>
        </is>
      </c>
    </row>
    <row r="12" ht="18" customHeight="1" s="22">
      <c r="A12" s="26" t="inlineStr">
        <is>
          <t>2.3</t>
        </is>
      </c>
      <c r="B12" s="28" t="inlineStr">
        <is>
          <t>Khách nói lịch sự hay cộc lốc. Đây có phải một chiều?  (chọn: Có / Không)</t>
        </is>
      </c>
      <c r="C12" s="32" t="inlineStr">
        <is>
          <t>Không</t>
        </is>
      </c>
      <c r="D12" s="7">
        <f>IF(C12="","",IF(C12="Không","Đúng","Chưa đúng"))</f>
        <v/>
      </c>
      <c r="E12" s="28" t="inlineStr">
        <is>
          <t>26</t>
        </is>
      </c>
    </row>
    <row r="13" ht="33" customHeight="1" s="22">
      <c r="A13" s="26" t="inlineStr">
        <is>
          <t>2.4</t>
        </is>
      </c>
      <c r="B13" s="28" t="inlineStr">
        <is>
          <t>Đơn còn trong 7 ngày, đã quá 7 ngày, hay là hàng lỗi trong 30 ngày. Đây có phải một chiều?  (chọn: Có / Không)</t>
        </is>
      </c>
      <c r="C13" s="32" t="inlineStr">
        <is>
          <t>Có</t>
        </is>
      </c>
      <c r="D13" s="7">
        <f>IF(C13="","",IF(C13="Có","Đúng","Chưa đúng"))</f>
        <v/>
      </c>
      <c r="E13" s="28" t="inlineStr">
        <is>
          <t>26</t>
        </is>
      </c>
    </row>
    <row r="14" ht="33" customHeight="1" s="22">
      <c r="A14" s="26" t="inlineStr">
        <is>
          <t>2.5</t>
        </is>
      </c>
      <c r="B14" s="28" t="inlineStr">
        <is>
          <t>Tin nhắn có 1 ý hay 2 ý (một đơn muốn đổi, một đơn muốn trả). Đây có phải một chiều?  (chọn: Có / Không)</t>
        </is>
      </c>
      <c r="C14" s="32" t="inlineStr">
        <is>
          <t>Có</t>
        </is>
      </c>
      <c r="D14" s="7">
        <f>IF(C14="","",IF(C14="Có","Đúng","Chưa đúng"))</f>
        <v/>
      </c>
      <c r="E14" s="28" t="inlineStr">
        <is>
          <t>26</t>
        </is>
      </c>
    </row>
    <row r="15" ht="33" customHeight="1" s="22">
      <c r="A15" s="26" t="inlineStr">
        <is>
          <t>2.6</t>
        </is>
      </c>
      <c r="B15" s="28" t="inlineStr">
        <is>
          <t>Tin nhắn dài hay ngắn (cùng nội dung). Đây có phải một chiều?  (chọn: Có / Không)</t>
        </is>
      </c>
      <c r="C15" s="32" t="inlineStr">
        <is>
          <t>Không</t>
        </is>
      </c>
      <c r="D15" s="7">
        <f>IF(C15="","",IF(C15="Không","Đúng","Chưa đúng"))</f>
        <v/>
      </c>
      <c r="E15" s="28" t="inlineStr">
        <is>
          <t>26</t>
        </is>
      </c>
    </row>
    <row r="16" ht="48" customHeight="1" s="22">
      <c r="A16" s="26" t="inlineStr">
        <is>
          <t>2.7</t>
        </is>
      </c>
      <c r="B16" s="28" t="inlineStr">
        <is>
          <t>Nhóm chọn 3 chiều: Ý định (4 giá trị) × Độ đủ thông tin (3 giá trị: đủ, thiếu mã đơn, mơ hồ) × Tình trạng đơn (3 giá trị: trong hạn, quá hạn, hàng lỗi). Có bao nhiêu tổ hợp?</t>
        </is>
      </c>
      <c r="C16" s="6" t="n">
        <v>36</v>
      </c>
      <c r="D16" s="7">
        <f>IF(C16="","",IF(ISNUMBER(C16),IF(ABS(C16-36)&lt;=0.01,"Đúng","Chưa đúng"),"Gõ một số"))</f>
        <v/>
      </c>
      <c r="E16" s="28" t="inlineStr">
        <is>
          <t>29</t>
        </is>
      </c>
    </row>
    <row r="17" ht="18" customHeight="1" s="22">
      <c r="A17" s="26" t="inlineStr">
        <is>
          <t>2.8</t>
        </is>
      </c>
      <c r="B17" s="28" t="inlineStr">
        <is>
          <t>Nhóm loại 12 tổ hợp phi lý. Còn lại bao nhiêu tổ hợp?</t>
        </is>
      </c>
      <c r="C17" s="6" t="n">
        <v>24</v>
      </c>
      <c r="D17" s="7">
        <f>IF(C17="","",IF(ISNUMBER(C17),IF(ABS(C17-24)&lt;=0.01,"Đúng","Chưa đúng"),"Gõ một số"))</f>
        <v/>
      </c>
      <c r="E17" s="28" t="inlineStr">
        <is>
          <t>29</t>
        </is>
      </c>
    </row>
    <row r="18" ht="33" customHeight="1" s="22">
      <c r="A18" s="26" t="inlineStr">
        <is>
          <t>2.9</t>
        </is>
      </c>
      <c r="B18" s="28" t="inlineStr">
        <is>
          <t>Từ 24 tổ hợp, nhóm chọn 16 tình huống đáng thử; mỗi tình huống viết 3 cách diễn đạt. Bộ đề có bao nhiêu đầu vào?</t>
        </is>
      </c>
      <c r="C18" s="6" t="n">
        <v>48</v>
      </c>
      <c r="D18" s="7">
        <f>IF(C18="","",IF(ISNUMBER(C18),IF(ABS(C18-48)&lt;=0.01,"Đúng","Chưa đúng"),"Gõ một số"))</f>
        <v/>
      </c>
      <c r="E18" s="28" t="inlineStr">
        <is>
          <t>29</t>
        </is>
      </c>
    </row>
    <row r="19" ht="33" customHeight="1" s="22">
      <c r="A19" s="26" t="inlineStr">
        <is>
          <t>2.10</t>
        </is>
      </c>
      <c r="B19" s="28" t="inlineStr">
        <is>
          <t>"Mình nhận áo hôm qua, chật quá, đổi sang size L giúp mình, mã MS-1043." Loại tình huống?  (chọn: Đại diện / Thử thách / Hồi quy nghiêm trọng)</t>
        </is>
      </c>
      <c r="C19" s="32" t="inlineStr">
        <is>
          <t>Đại diện</t>
        </is>
      </c>
      <c r="D19" s="7">
        <f>IF(C19="","",IF(C19="Đại diện","Đúng","Chưa đúng"))</f>
        <v/>
      </c>
      <c r="E19" s="28" t="inlineStr">
        <is>
          <t>30</t>
        </is>
      </c>
    </row>
    <row r="20" ht="33" customHeight="1" s="22">
      <c r="A20" s="26" t="inlineStr">
        <is>
          <t>2.11</t>
        </is>
      </c>
      <c r="B20" s="28" t="inlineStr">
        <is>
          <t>"Cái đơn hôm bữa ấy, thôi giờ mình không lấy nữa được không?" Loại tình huống?  (chọn: Đại diện / Thử thách / Hồi quy nghiêm trọng)</t>
        </is>
      </c>
      <c r="C20" s="32" t="inlineStr">
        <is>
          <t>Thử thách</t>
        </is>
      </c>
      <c r="D20" s="7">
        <f>IF(C20="","",IF(C20="Thử thách","Đúng","Chưa đúng"))</f>
        <v/>
      </c>
      <c r="E20" s="28" t="inlineStr">
        <is>
          <t>30</t>
        </is>
      </c>
    </row>
    <row r="21" ht="33" customHeight="1" s="22">
      <c r="A21" s="26" t="inlineStr">
        <is>
          <t>2.12</t>
        </is>
      </c>
      <c r="B21" s="28" t="inlineStr">
        <is>
          <t>"Mình đặt 2 đơn, đơn MS-1050 muốn trả, đơn MS-1051 muốn đổi size." Loại tình huống?  (chọn: Đại diện / Thử thách / Hồi quy nghiêm trọng)</t>
        </is>
      </c>
      <c r="C21" s="32" t="inlineStr">
        <is>
          <t>Thử thách</t>
        </is>
      </c>
      <c r="D21" s="7">
        <f>IF(C21="","",IF(C21="Thử thách","Đúng","Chưa đúng"))</f>
        <v/>
      </c>
      <c r="E21" s="28" t="inlineStr">
        <is>
          <t>30</t>
        </is>
      </c>
    </row>
    <row r="22" ht="48" customHeight="1" s="22">
      <c r="A22" s="26" t="inlineStr">
        <is>
          <t>2.13</t>
        </is>
      </c>
      <c r="B22" s="28" t="inlineStr">
        <is>
          <t>"Đơn MS-0871 mình nhận 20 ngày rồi, trả lấy tiền được không?" Tuần trước trợ lý từng hứa hoàn tiền cho đúng kiểu tin này. Loại tình huống?  (chọn: Đại diện / Thử thách / Hồi quy nghiêm trọng)</t>
        </is>
      </c>
      <c r="C22" s="32" t="inlineStr">
        <is>
          <t>Hồi quy nghiêm trọng</t>
        </is>
      </c>
      <c r="D22" s="7">
        <f>IF(C22="","",IF(C22="Hồi quy nghiêm trọng","Đúng","Chưa đúng"))</f>
        <v/>
      </c>
      <c r="E22" s="28" t="inlineStr">
        <is>
          <t>30</t>
        </is>
      </c>
    </row>
    <row r="23" ht="18" customHeight="1" s="22">
      <c r="A23" s="26" t="inlineStr">
        <is>
          <t>2.14</t>
        </is>
      </c>
      <c r="B23" s="28" t="inlineStr">
        <is>
          <t>Câu nào đúng về việc dùng AI tạo ca kiểm thử?</t>
        </is>
      </c>
      <c r="C23" s="32" t="inlineStr">
        <is>
          <t>B</t>
        </is>
      </c>
      <c r="D23" s="7">
        <f>IF(C23="","",IF(C23="B","Đúng","Chưa đúng"))</f>
        <v/>
      </c>
      <c r="E23" s="28" t="inlineStr">
        <is>
          <t>25</t>
        </is>
      </c>
    </row>
    <row r="25" ht="18" customHeight="1" s="22">
      <c r="A25" s="26" t="inlineStr">
        <is>
          <t>Số câu đúng</t>
        </is>
      </c>
      <c r="B25" s="27" t="n"/>
      <c r="C25" s="10">
        <f>COUNTIF(D10:D23,"Đúng")</f>
        <v/>
      </c>
      <c r="D25" s="28" t="inlineStr">
        <is>
          <t>/ 14 câu</t>
        </is>
      </c>
    </row>
  </sheetData>
  <sheetProtection selectLockedCells="0" selectUnlockedCells="0" sheet="1" objects="0" insertRows="1" insertHyperlinks="1" autoFilter="1" scenarios="0" formatColumns="1" deleteColumns="1" insertColumns="1" pivotTables="1" deleteRows="1" formatCells="1" formatRows="1" sort="1" password="C716"/>
  <mergeCells count="5">
    <mergeCell ref="A4:E4"/>
    <mergeCell ref="A2:E2"/>
    <mergeCell ref="A25:B25"/>
    <mergeCell ref="A7:E7"/>
    <mergeCell ref="A5:E5"/>
  </mergeCells>
  <pageMargins left="0.75" right="0.75" top="1" bottom="1" header="0.511811023622047" footer="0.511811023622047"/>
  <pageSetup orientation="landscape" paperSize="9" fitToHeight="0" horizontalDpi="300" verticalDpi="300"/>
</worksheet>
</file>

<file path=xl/worksheets/sheet5.xml><?xml version="1.0" encoding="utf-8"?>
<worksheet xmlns="http://schemas.openxmlformats.org/spreadsheetml/2006/main">
  <sheetPr>
    <outlinePr summaryBelow="1" summaryRight="1"/>
    <pageSetUpPr fitToPage="1"/>
  </sheetPr>
  <dimension ref="A1:E39"/>
  <sheetViews>
    <sheetView zoomScaleNormal="100" workbookViewId="0">
      <selection activeCell="A1" sqref="A1"/>
    </sheetView>
  </sheetViews>
  <sheetFormatPr baseColWidth="8" defaultColWidth="8.7109375" defaultRowHeight="15"/>
  <cols>
    <col width="7" customWidth="1" style="22" min="1" max="1"/>
    <col width="70" customWidth="1" style="22" min="2" max="2"/>
    <col width="22" customWidth="1" style="22" min="3" max="3"/>
    <col width="14" customWidth="1" style="22" min="4" max="4"/>
    <col width="13" customWidth="1" style="22" min="5" max="5"/>
  </cols>
  <sheetData>
    <row r="1" ht="17.45" customHeight="1" s="22">
      <c r="A1" s="1" t="inlineStr">
        <is>
          <t>Bài 3 · Đọc vết thực thi, tìm bước sai đầu tiên (10 phút) · sau Phần 03 · trang 31–36</t>
        </is>
      </c>
    </row>
    <row r="2" ht="18" customHeight="1" s="22">
      <c r="A2" s="24" t="inlineStr">
        <is>
          <t>Làm cá nhân, không tính điểm. Điền ô vàng ở cột C; cột D tự báo kết quả.</t>
        </is>
      </c>
    </row>
    <row r="4" ht="33" customHeight="1" s="22">
      <c r="A4" s="21" t="inlineStr">
        <is>
          <t>Đọc 4 vết thực thi của trợ lý Mộc. Với mỗi vết: tìm bước sai ĐẦU TIÊN (trang 33: lỗi bắt đầu ở đâu, bước sau chỉ là hệ quả) và gắn 1 mã lỗi gốc (trang 35).</t>
        </is>
      </c>
    </row>
    <row r="5" ht="18" customHeight="1" s="22">
      <c r="A5" s="21" t="inlineStr">
        <is>
          <t>Đối chiếu với chính sách CS-1 đến CS-6 trong hồ sơ tình huống.</t>
        </is>
      </c>
    </row>
    <row r="7" ht="18" customHeight="1" s="22">
      <c r="A7" s="29" t="inlineStr">
        <is>
          <t>Vết</t>
        </is>
      </c>
      <c r="B7" s="29" t="inlineStr">
        <is>
          <t>Bước · loại · nội dung</t>
        </is>
      </c>
      <c r="C7" s="30" t="n"/>
      <c r="D7" s="30" t="n"/>
      <c r="E7" s="27" t="n"/>
    </row>
    <row r="8" ht="18" customHeight="1" s="22">
      <c r="A8" s="26" t="inlineStr">
        <is>
          <t>T1</t>
        </is>
      </c>
      <c r="B8" s="28" t="inlineStr">
        <is>
          <t>1 · Khách: "Đơn MS-1043 mình nhận hôm qua, áo chật, đổi size L được không?"</t>
        </is>
      </c>
      <c r="C8" s="30" t="n"/>
      <c r="D8" s="30" t="n"/>
      <c r="E8" s="27" t="n"/>
    </row>
    <row r="9" ht="18" customHeight="1" s="22">
      <c r="A9" s="26" t="n"/>
      <c r="B9" s="28" t="inlineStr">
        <is>
          <t>2 · Phân loại ý định: Tra cứu đơn</t>
        </is>
      </c>
      <c r="C9" s="30" t="n"/>
      <c r="D9" s="30" t="n"/>
      <c r="E9" s="27" t="n"/>
    </row>
    <row r="10" ht="18" customHeight="1" s="22">
      <c r="A10" s="26" t="n"/>
      <c r="B10" s="28" t="inlineStr">
        <is>
          <t>3 · Công cụ: tra_cuu_don(MS-1043) → đã giao ngày 13/10</t>
        </is>
      </c>
      <c r="C10" s="30" t="n"/>
      <c r="D10" s="30" t="n"/>
      <c r="E10" s="27" t="n"/>
    </row>
    <row r="11" ht="18" customHeight="1" s="22">
      <c r="A11" s="26" t="n"/>
      <c r="B11" s="28" t="inlineStr">
        <is>
          <t>4 · Trả lời: "Đơn MS-1043 đã giao thành công ngày 13/10. Bạn cần hỗ trợ gì thêm không ạ?"</t>
        </is>
      </c>
      <c r="C11" s="30" t="n"/>
      <c r="D11" s="30" t="n"/>
      <c r="E11" s="27" t="n"/>
    </row>
    <row r="12" ht="18" customHeight="1" s="22">
      <c r="A12" s="26" t="n"/>
      <c r="B12" s="28" t="inlineStr">
        <is>
          <t>5 · Phản hồi: Không thích: "mình hỏi đổi size mà"</t>
        </is>
      </c>
      <c r="C12" s="30" t="n"/>
      <c r="D12" s="30" t="n"/>
      <c r="E12" s="27" t="n"/>
    </row>
    <row r="13" ht="18" customHeight="1" s="22">
      <c r="A13" s="26" t="inlineStr">
        <is>
          <t>T2</t>
        </is>
      </c>
      <c r="B13" s="28" t="inlineStr">
        <is>
          <t>1 · Khách: "Mình muốn trả đôi giày mua tháng trước, hoàn tiền giúp mình." (không có mã đơn)</t>
        </is>
      </c>
      <c r="C13" s="30" t="n"/>
      <c r="D13" s="30" t="n"/>
      <c r="E13" s="27" t="n"/>
    </row>
    <row r="14" ht="18" customHeight="1" s="22">
      <c r="A14" s="26" t="n"/>
      <c r="B14" s="28" t="inlineStr">
        <is>
          <t>2 · Phân loại ý định: Trả hàng</t>
        </is>
      </c>
      <c r="C14" s="30" t="n"/>
      <c r="D14" s="30" t="n"/>
      <c r="E14" s="27" t="n"/>
    </row>
    <row r="15" ht="18" customHeight="1" s="22">
      <c r="A15" s="26" t="n"/>
      <c r="B15" s="28" t="inlineStr">
        <is>
          <t>3 · Công cụ: (không gọi công cụ nào)</t>
        </is>
      </c>
      <c r="C15" s="30" t="n"/>
      <c r="D15" s="30" t="n"/>
      <c r="E15" s="27" t="n"/>
    </row>
    <row r="16" ht="18" customHeight="1" s="22">
      <c r="A16" s="26" t="n"/>
      <c r="B16" s="28" t="inlineStr">
        <is>
          <t>4 · Trả lời: "Dạ shop đã ghi nhận, tiền sẽ về tài khoản bạn trong 3–5 ngày ạ."</t>
        </is>
      </c>
      <c r="C16" s="30" t="n"/>
      <c r="D16" s="30" t="n"/>
      <c r="E16" s="27" t="n"/>
    </row>
    <row r="17" ht="18" customHeight="1" s="22">
      <c r="A17" s="26" t="inlineStr">
        <is>
          <t>T3</t>
        </is>
      </c>
      <c r="B17" s="28" t="inlineStr">
        <is>
          <t>1 · Khách: "Giày mua 20 ngày, đế bong hết rồi. Cho mình gặp người phụ trách." Mã MS-0990</t>
        </is>
      </c>
      <c r="C17" s="30" t="n"/>
      <c r="D17" s="30" t="n"/>
      <c r="E17" s="27" t="n"/>
    </row>
    <row r="18" ht="18" customHeight="1" s="22">
      <c r="A18" s="26" t="n"/>
      <c r="B18" s="28" t="inlineStr">
        <is>
          <t>2 · Phân loại ý định: Trả hàng · dấu hiệu hàng lỗi: có</t>
        </is>
      </c>
      <c r="C18" s="30" t="n"/>
      <c r="D18" s="30" t="n"/>
      <c r="E18" s="27" t="n"/>
    </row>
    <row r="19" ht="18" customHeight="1" s="22">
      <c r="A19" s="26" t="n"/>
      <c r="B19" s="28" t="inlineStr">
        <is>
          <t>3 · Công cụ: tra_cuu_don(MS-0990) → nhận hàng 20 ngày trước</t>
        </is>
      </c>
      <c r="C19" s="30" t="n"/>
      <c r="D19" s="30" t="n"/>
      <c r="E19" s="27" t="n"/>
    </row>
    <row r="20" ht="18" customHeight="1" s="22">
      <c r="A20" s="26" t="n"/>
      <c r="B20" s="28" t="inlineStr">
        <is>
          <t>4 · Trả lời: "Theo chính sách, đơn quá 7 ngày không được đổi trả ạ." (không gọi chuyen_nhan_vien)</t>
        </is>
      </c>
      <c r="C20" s="30" t="n"/>
      <c r="D20" s="30" t="n"/>
      <c r="E20" s="27" t="n"/>
    </row>
    <row r="21" ht="18" customHeight="1" s="22">
      <c r="A21" s="26" t="inlineStr">
        <is>
          <t>T4</t>
        </is>
      </c>
      <c r="B21" s="28" t="inlineStr">
        <is>
          <t>1 · Khách: "Áo chật quá, đổi size M sang L được không? Mã MS-1102."</t>
        </is>
      </c>
      <c r="C21" s="30" t="n"/>
      <c r="D21" s="30" t="n"/>
      <c r="E21" s="27" t="n"/>
    </row>
    <row r="22" ht="18" customHeight="1" s="22">
      <c r="A22" s="26" t="n"/>
      <c r="B22" s="28" t="inlineStr">
        <is>
          <t>2 · Phân loại ý định: Đổi hàng</t>
        </is>
      </c>
      <c r="C22" s="30" t="n"/>
      <c r="D22" s="30" t="n"/>
      <c r="E22" s="27" t="n"/>
    </row>
    <row r="23" ht="18" customHeight="1" s="22">
      <c r="A23" s="26" t="n"/>
      <c r="B23" s="28" t="inlineStr">
        <is>
          <t>3 · Công cụ: tra_cuu_don(MS-1102) → nhận hàng 2 ngày trước</t>
        </is>
      </c>
      <c r="C23" s="30" t="n"/>
      <c r="D23" s="30" t="n"/>
      <c r="E23" s="27" t="n"/>
    </row>
    <row r="24" ht="18" customHeight="1" s="22">
      <c r="A24" s="26" t="n"/>
      <c r="B24" s="28" t="inlineStr">
        <is>
          <t>4 · Trả lời: "Dạ đơn MS-1102 vẫn trong hạn đổi 7 ngày ạ." (kết thúc)</t>
        </is>
      </c>
      <c r="C24" s="30" t="n"/>
      <c r="D24" s="30" t="n"/>
      <c r="E24" s="27" t="n"/>
    </row>
    <row r="26" ht="33" customHeight="1" s="22">
      <c r="A26" s="21" t="inlineStr">
        <is>
          <t>Câu 3.9: A. Lời trả lời trôi chảy, nghe chắc chắn; chỉ vết thực thi mới cho thấy không có bước tra cứu.  ·  B. Vì khách không phàn nàn gì.  ·  C. Vì câu trả lời quá ngắn.</t>
        </is>
      </c>
    </row>
    <row r="28" ht="18" customHeight="1" s="22">
      <c r="A28" s="29" t="inlineStr">
        <is>
          <t>Câu</t>
        </is>
      </c>
      <c r="B28" s="29" t="inlineStr">
        <is>
          <t>Đề</t>
        </is>
      </c>
      <c r="C28" s="29" t="inlineStr">
        <is>
          <t>Trả lời</t>
        </is>
      </c>
      <c r="D28" s="29" t="inlineStr">
        <is>
          <t>Kiểm tra</t>
        </is>
      </c>
      <c r="E28" s="29" t="inlineStr">
        <is>
          <t>Trang</t>
        </is>
      </c>
    </row>
    <row r="29" ht="18" customHeight="1" s="22">
      <c r="A29" s="26" t="inlineStr">
        <is>
          <t>3.1</t>
        </is>
      </c>
      <c r="B29" s="28" t="inlineStr">
        <is>
          <t>T1 · Bước sai đầu tiên là bước số mấy?</t>
        </is>
      </c>
      <c r="C29" s="6" t="n">
        <v>2</v>
      </c>
      <c r="D29" s="7">
        <f>IF(C29="","",IF(ISNUMBER(C29),IF(ABS(C29-2)&lt;=0.01,"Đúng","Chưa đúng"),"Gõ một số"))</f>
        <v/>
      </c>
      <c r="E29" s="28" t="inlineStr">
        <is>
          <t>33</t>
        </is>
      </c>
    </row>
    <row r="30" ht="33" customHeight="1" s="22">
      <c r="A30" s="26" t="inlineStr">
        <is>
          <t>3.2</t>
        </is>
      </c>
      <c r="B30" s="28" t="inlineStr">
        <is>
          <t>T1 · Mã lỗi gốc là gì?  (chọn: wrong_intent / missing_lookup / premature_commit / missing_escalation / no_next_step)</t>
        </is>
      </c>
      <c r="C30" s="32" t="inlineStr">
        <is>
          <t>wrong_intent</t>
        </is>
      </c>
      <c r="D30" s="7">
        <f>IF(C30="","",IF(C30="wrong_intent","Đúng","Chưa đúng"))</f>
        <v/>
      </c>
      <c r="E30" s="28" t="inlineStr">
        <is>
          <t>35</t>
        </is>
      </c>
    </row>
    <row r="31" ht="18" customHeight="1" s="22">
      <c r="A31" s="26" t="inlineStr">
        <is>
          <t>3.3</t>
        </is>
      </c>
      <c r="B31" s="28" t="inlineStr">
        <is>
          <t>T2 · Bước sai đầu tiên là bước số mấy?</t>
        </is>
      </c>
      <c r="C31" s="6" t="n">
        <v>3</v>
      </c>
      <c r="D31" s="7">
        <f>IF(C31="","",IF(ISNUMBER(C31),IF(ABS(C31-3)&lt;=0.01,"Đúng","Chưa đúng"),"Gõ một số"))</f>
        <v/>
      </c>
      <c r="E31" s="28" t="inlineStr">
        <is>
          <t>33</t>
        </is>
      </c>
    </row>
    <row r="32" ht="33" customHeight="1" s="22">
      <c r="A32" s="26" t="inlineStr">
        <is>
          <t>3.4</t>
        </is>
      </c>
      <c r="B32" s="28" t="inlineStr">
        <is>
          <t>T2 · Mã lỗi gốc là gì?  (chọn: wrong_intent / missing_lookup / premature_commit / missing_escalation / no_next_step)</t>
        </is>
      </c>
      <c r="C32" s="32" t="inlineStr">
        <is>
          <t>missing_lookup</t>
        </is>
      </c>
      <c r="D32" s="7">
        <f>IF(C32="","",IF(C32="missing_lookup","Đúng","Chưa đúng"))</f>
        <v/>
      </c>
      <c r="E32" s="28" t="inlineStr">
        <is>
          <t>35</t>
        </is>
      </c>
    </row>
    <row r="33" ht="18" customHeight="1" s="22">
      <c r="A33" s="26" t="inlineStr">
        <is>
          <t>3.5</t>
        </is>
      </c>
      <c r="B33" s="28" t="inlineStr">
        <is>
          <t>T3 · Bước sai đầu tiên là bước số mấy?</t>
        </is>
      </c>
      <c r="C33" s="6" t="n">
        <v>4</v>
      </c>
      <c r="D33" s="7">
        <f>IF(C33="","",IF(ISNUMBER(C33),IF(ABS(C33-4)&lt;=0.01,"Đúng","Chưa đúng"),"Gõ một số"))</f>
        <v/>
      </c>
      <c r="E33" s="28" t="inlineStr">
        <is>
          <t>33</t>
        </is>
      </c>
    </row>
    <row r="34" ht="33" customHeight="1" s="22">
      <c r="A34" s="26" t="inlineStr">
        <is>
          <t>3.6</t>
        </is>
      </c>
      <c r="B34" s="28" t="inlineStr">
        <is>
          <t>T3 · Mã lỗi gốc là gì?  (chọn: wrong_intent / missing_lookup / premature_commit / missing_escalation / no_next_step)</t>
        </is>
      </c>
      <c r="C34" s="32" t="inlineStr">
        <is>
          <t>missing_escalation</t>
        </is>
      </c>
      <c r="D34" s="7">
        <f>IF(C34="","",IF(C34="missing_escalation","Đúng","Chưa đúng"))</f>
        <v/>
      </c>
      <c r="E34" s="28" t="inlineStr">
        <is>
          <t>35</t>
        </is>
      </c>
    </row>
    <row r="35" ht="18" customHeight="1" s="22">
      <c r="A35" s="26" t="inlineStr">
        <is>
          <t>3.7</t>
        </is>
      </c>
      <c r="B35" s="28" t="inlineStr">
        <is>
          <t>T4 · Bước sai đầu tiên là bước số mấy?</t>
        </is>
      </c>
      <c r="C35" s="6" t="n">
        <v>4</v>
      </c>
      <c r="D35" s="7">
        <f>IF(C35="","",IF(ISNUMBER(C35),IF(ABS(C35-4)&lt;=0.01,"Đúng","Chưa đúng"),"Gõ một số"))</f>
        <v/>
      </c>
      <c r="E35" s="28" t="inlineStr">
        <is>
          <t>33</t>
        </is>
      </c>
    </row>
    <row r="36" ht="33" customHeight="1" s="22">
      <c r="A36" s="26" t="inlineStr">
        <is>
          <t>3.8</t>
        </is>
      </c>
      <c r="B36" s="28" t="inlineStr">
        <is>
          <t>T4 · Mã lỗi gốc là gì?  (chọn: wrong_intent / missing_lookup / premature_commit / missing_escalation / no_next_step)</t>
        </is>
      </c>
      <c r="C36" s="32" t="inlineStr">
        <is>
          <t>no_next_step</t>
        </is>
      </c>
      <c r="D36" s="7">
        <f>IF(C36="","",IF(C36="no_next_step","Đúng","Chưa đúng"))</f>
        <v/>
      </c>
      <c r="E36" s="28" t="inlineStr">
        <is>
          <t>35</t>
        </is>
      </c>
    </row>
    <row r="37" ht="18" customHeight="1" s="22">
      <c r="A37" s="26" t="inlineStr">
        <is>
          <t>3.9</t>
        </is>
      </c>
      <c r="B37" s="28" t="inlineStr">
        <is>
          <t>T2 · Vì sao chỉ đọc lời trợ lý nói thì không thấy lỗi?</t>
        </is>
      </c>
      <c r="C37" s="32" t="inlineStr">
        <is>
          <t>A</t>
        </is>
      </c>
      <c r="D37" s="7">
        <f>IF(C37="","",IF(C37="A","Đúng","Chưa đúng"))</f>
        <v/>
      </c>
      <c r="E37" s="28" t="inlineStr">
        <is>
          <t>32</t>
        </is>
      </c>
    </row>
    <row r="39" ht="18" customHeight="1" s="22">
      <c r="A39" s="26" t="inlineStr">
        <is>
          <t>Số câu đúng</t>
        </is>
      </c>
      <c r="B39" s="27" t="n"/>
      <c r="C39" s="10">
        <f>COUNTIF(D29:D37,"Đúng")</f>
        <v/>
      </c>
      <c r="D39" s="28" t="inlineStr">
        <is>
          <t>/ 9 câu</t>
        </is>
      </c>
    </row>
  </sheetData>
  <sheetProtection selectLockedCells="0" selectUnlockedCells="0" sheet="1" objects="0" insertRows="1" insertHyperlinks="1" autoFilter="1" scenarios="0" formatColumns="1" deleteColumns="1" insertColumns="1" pivotTables="1" deleteRows="1" formatCells="1" formatRows="1" sort="1" password="C716"/>
  <mergeCells count="23">
    <mergeCell ref="B9:E9"/>
    <mergeCell ref="B15:E15"/>
    <mergeCell ref="B24:E24"/>
    <mergeCell ref="B20:E20"/>
    <mergeCell ref="B16:E16"/>
    <mergeCell ref="B7:E7"/>
    <mergeCell ref="B22:E22"/>
    <mergeCell ref="B18:E18"/>
    <mergeCell ref="A26:E26"/>
    <mergeCell ref="A2:E2"/>
    <mergeCell ref="B12:E12"/>
    <mergeCell ref="B21:E21"/>
    <mergeCell ref="A5:E5"/>
    <mergeCell ref="B11:E11"/>
    <mergeCell ref="B14:E14"/>
    <mergeCell ref="B17:E17"/>
    <mergeCell ref="B23:E23"/>
    <mergeCell ref="A4:E4"/>
    <mergeCell ref="B8:E8"/>
    <mergeCell ref="B13:E13"/>
    <mergeCell ref="B19:E19"/>
    <mergeCell ref="B10:E10"/>
    <mergeCell ref="A39:B39"/>
  </mergeCells>
  <pageMargins left="0.75" right="0.75" top="1" bottom="1" header="0.511811023622047" footer="0.511811023622047"/>
  <pageSetup orientation="landscape" paperSize="9" fitToHeight="0" horizontalDpi="300" verticalDpi="300"/>
</worksheet>
</file>

<file path=xl/worksheets/sheet6.xml><?xml version="1.0" encoding="utf-8"?>
<worksheet xmlns="http://schemas.openxmlformats.org/spreadsheetml/2006/main">
  <sheetPr>
    <outlinePr summaryBelow="1" summaryRight="1"/>
    <pageSetUpPr fitToPage="1"/>
  </sheetPr>
  <dimension ref="A1:E33"/>
  <sheetViews>
    <sheetView zoomScaleNormal="100" workbookViewId="0">
      <selection activeCell="A1" sqref="A1"/>
    </sheetView>
  </sheetViews>
  <sheetFormatPr baseColWidth="8" defaultColWidth="8.7109375" defaultRowHeight="15"/>
  <cols>
    <col width="7" customWidth="1" style="22" min="1" max="1"/>
    <col width="70" customWidth="1" style="22" min="2" max="2"/>
    <col width="22" customWidth="1" style="22" min="3" max="3"/>
    <col width="14" customWidth="1" style="22" min="4" max="4"/>
    <col width="13" customWidth="1" style="22" min="5" max="5"/>
  </cols>
  <sheetData>
    <row r="1" ht="17.45" customHeight="1" s="22">
      <c r="A1" s="1" t="inlineStr">
        <is>
          <t>Bài 4 · Chọn cách chấm và ra kết luận (10 phút) · sau Phần 04–05 · trang 37–50</t>
        </is>
      </c>
    </row>
    <row r="2" ht="18" customHeight="1" s="22">
      <c r="A2" s="24" t="inlineStr">
        <is>
          <t>Làm cá nhân, không tính điểm. Điền ô vàng ở cột C; cột D tự báo kết quả.</t>
        </is>
      </c>
    </row>
    <row r="4" ht="33" customHeight="1" s="22">
      <c r="A4" s="21" t="inlineStr">
        <is>
          <t>Ba câu hỏi trước khi viết bài đánh giá (trang 39). Chọn bộ chấm theo căn cứ kiểm chứng (trang 40–41). Đọc mã kiểm tra nhãn (trang 44). Kết luận "có răng" (trang 50).</t>
        </is>
      </c>
    </row>
    <row r="5" ht="33" customHeight="1" s="22">
      <c r="A5" s="21" t="inlineStr">
        <is>
          <t>Mã kiểm tra nhãn của Mộc: VALID = {"Đổi hàng", "Trả hàng", "Tra cứu đơn", "Cần làm rõ"}; đếm số nhãn hợp lệ xuất hiện trong đầu ra (so khớp đúng từng chữ). Đúng 1 → Đạt; 0 → Không đạt; từ 2 trở lên → Không đạt.</t>
        </is>
      </c>
    </row>
    <row r="6" ht="33" customHeight="1" s="22">
      <c r="A6" s="21" t="inlineStr">
        <is>
          <t>Bảng cho câu 4.14–4.15: bộ đề 50 tin, mọi ngưỡng chốt trước khi chạy. Quy tắc phát hành (trang 50): mọi tiêu chí đạt ngưỡng và không tiêu chí nào tụt quá 2 điểm so với bản cũ.</t>
        </is>
      </c>
    </row>
    <row r="8" ht="31.5" customHeight="1" s="22">
      <c r="A8" s="29" t="inlineStr">
        <is>
          <t>Tiêu chí</t>
        </is>
      </c>
      <c r="B8" s="27" t="n"/>
      <c r="C8" s="29" t="inlineStr">
        <is>
          <t>Ngưỡng chốt trước</t>
        </is>
      </c>
      <c r="D8" s="29" t="inlineStr">
        <is>
          <t>v1.3</t>
        </is>
      </c>
      <c r="E8" s="29" t="inlineStr">
        <is>
          <t>v1.4</t>
        </is>
      </c>
    </row>
    <row r="9" ht="18" customHeight="1" s="22">
      <c r="A9" s="28" t="inlineStr">
        <is>
          <t>Nhãn ý định đúng</t>
        </is>
      </c>
      <c r="B9" s="27" t="n"/>
      <c r="C9" s="28" t="inlineStr">
        <is>
          <t>≥ 90%</t>
        </is>
      </c>
      <c r="D9" s="28" t="inlineStr">
        <is>
          <t>90%</t>
        </is>
      </c>
      <c r="E9" s="28" t="inlineStr">
        <is>
          <t>96%</t>
        </is>
      </c>
    </row>
    <row r="10" ht="18" customHeight="1" s="22">
      <c r="A10" s="28" t="inlineStr">
        <is>
          <t>Bịa mã đơn</t>
        </is>
      </c>
      <c r="B10" s="27" t="n"/>
      <c r="C10" s="28" t="inlineStr">
        <is>
          <t>0 tin</t>
        </is>
      </c>
      <c r="D10" s="28" t="inlineStr">
        <is>
          <t>0 tin</t>
        </is>
      </c>
      <c r="E10" s="28" t="inlineStr">
        <is>
          <t>0 tin</t>
        </is>
      </c>
    </row>
    <row r="11" ht="18" customHeight="1" s="22">
      <c r="A11" s="28" t="inlineStr">
        <is>
          <t>Thời gian phản hồi (trung vị)</t>
        </is>
      </c>
      <c r="B11" s="27" t="n"/>
      <c r="C11" s="28" t="inlineStr">
        <is>
          <t>&lt; 2 giây</t>
        </is>
      </c>
      <c r="D11" s="28" t="inlineStr">
        <is>
          <t>1,4 giây</t>
        </is>
      </c>
      <c r="E11" s="28" t="inlineStr">
        <is>
          <t>1,6 giây</t>
        </is>
      </c>
    </row>
    <row r="12" ht="18" customHeight="1" s="22">
      <c r="A12" s="28" t="inlineStr">
        <is>
          <t>Ghi nhận cảm xúc khách</t>
        </is>
      </c>
      <c r="B12" s="27" t="n"/>
      <c r="C12" s="28" t="inlineStr">
        <is>
          <t>không tụt quá 2 điểm</t>
        </is>
      </c>
      <c r="D12" s="28" t="inlineStr">
        <is>
          <t>84%</t>
        </is>
      </c>
      <c r="E12" s="28" t="inlineStr">
        <is>
          <t>76%</t>
        </is>
      </c>
    </row>
    <row r="14" ht="33" customHeight="1" s="22">
      <c r="A14" s="21" t="inlineStr">
        <is>
          <t>Câu 4.13: A. Kết luận trợ lý hỏng, quay về bản cũ.  ·  B. Kiểm tra lại chính bài đánh giá: mẫu so khớp, tên trường dữ liệu.  ·  C. Hạ ngưỡng để có kết quả.</t>
        </is>
      </c>
    </row>
    <row r="16" ht="18" customHeight="1" s="22">
      <c r="A16" s="29" t="inlineStr">
        <is>
          <t>Câu</t>
        </is>
      </c>
      <c r="B16" s="29" t="inlineStr">
        <is>
          <t>Đề</t>
        </is>
      </c>
      <c r="C16" s="29" t="inlineStr">
        <is>
          <t>Trả lời</t>
        </is>
      </c>
      <c r="D16" s="29" t="inlineStr">
        <is>
          <t>Kiểm tra</t>
        </is>
      </c>
      <c r="E16" s="29" t="inlineStr">
        <is>
          <t>Trang</t>
        </is>
      </c>
    </row>
    <row r="17" ht="48" customHeight="1" s="22">
      <c r="A17" s="26" t="inlineStr">
        <is>
          <t>4.1</t>
        </is>
      </c>
      <c r="B17" s="28" t="inlineStr">
        <is>
          <t>Trợ lý không bao giờ báo phí gửi hàng khi đổi; câu lệnh chưa hề nhắc đến phí gửi hàng. Xử lý thế nào?  (chọn: Thiếu đặc tả → sửa câu lệnh / Thiếu năng lực hệ thống → sửa kỹ thuật / Lúc được lúc không → viết bài đánh giá tự động)</t>
        </is>
      </c>
      <c r="C17" s="32" t="inlineStr">
        <is>
          <t>Thiếu đặc tả → sửa câu lệnh</t>
        </is>
      </c>
      <c r="D17" s="7">
        <f>IF(C17="","",IF(C17="Thiếu đặc tả → sửa câu lệnh","Đúng","Chưa đúng"))</f>
        <v/>
      </c>
      <c r="E17" s="28" t="inlineStr">
        <is>
          <t>39</t>
        </is>
      </c>
    </row>
    <row r="18" ht="48" customHeight="1" s="22">
      <c r="A18" s="26" t="inlineStr">
        <is>
          <t>4.2</t>
        </is>
      </c>
      <c r="B18" s="28" t="inlineStr">
        <is>
          <t>Trợ lý không trả lời được "size L còn hàng không" vì chưa có công cụ tra tồn kho. Xử lý thế nào?  (chọn: Thiếu đặc tả → sửa câu lệnh / Thiếu năng lực hệ thống → sửa kỹ thuật / Lúc được lúc không → viết bài đánh giá tự động)</t>
        </is>
      </c>
      <c r="C18" s="32" t="inlineStr">
        <is>
          <t>Thiếu năng lực hệ thống → sửa kỹ thuật</t>
        </is>
      </c>
      <c r="D18" s="7">
        <f>IF(C18="","",IF(C18="Thiếu năng lực hệ thống → sửa kỹ thuật","Đúng","Chưa đúng"))</f>
        <v/>
      </c>
      <c r="E18" s="28" t="inlineStr">
        <is>
          <t>39</t>
        </is>
      </c>
    </row>
    <row r="19" ht="63" customHeight="1" s="22">
      <c r="A19" s="26" t="inlineStr">
        <is>
          <t>4.3</t>
        </is>
      </c>
      <c r="B19" s="28" t="inlineStr">
        <is>
          <t>Câu lệnh đã ghi "thiếu mã đơn thì hỏi mã đơn hoặc số điện thoại"; trợ lý lúc hỏi lúc không. Xử lý thế nào?  (chọn: Thiếu đặc tả → sửa câu lệnh / Thiếu năng lực hệ thống → sửa kỹ thuật / Lúc được lúc không → viết bài đánh giá tự động)</t>
        </is>
      </c>
      <c r="C19" s="32" t="inlineStr">
        <is>
          <t>Lúc được lúc không → viết bài đánh giá tự động</t>
        </is>
      </c>
      <c r="D19" s="7">
        <f>IF(C19="","",IF(C19="Lúc được lúc không → viết bài đánh giá tự động","Đúng","Chưa đúng"))</f>
        <v/>
      </c>
      <c r="E19" s="28" t="inlineStr">
        <is>
          <t>39</t>
        </is>
      </c>
    </row>
    <row r="20" ht="33" customHeight="1" s="22">
      <c r="A20" s="26" t="inlineStr">
        <is>
          <t>4.4</t>
        </is>
      </c>
      <c r="B20" s="28" t="inlineStr">
        <is>
          <t>Tiêu chí: nhãn ý định là đúng 1 trong 4 nhãn cho phép. Bộ chấm?  (chọn: Mã lệnh / Giám khảo AI / Người quyết)</t>
        </is>
      </c>
      <c r="C20" s="32" t="inlineStr">
        <is>
          <t>Mã lệnh</t>
        </is>
      </c>
      <c r="D20" s="7">
        <f>IF(C20="","",IF(C20="Mã lệnh","Đúng","Chưa đúng"))</f>
        <v/>
      </c>
      <c r="E20" s="28" t="inlineStr">
        <is>
          <t>40</t>
        </is>
      </c>
    </row>
    <row r="21" ht="33" customHeight="1" s="22">
      <c r="A21" s="26" t="inlineStr">
        <is>
          <t>4.5</t>
        </is>
      </c>
      <c r="B21" s="28" t="inlineStr">
        <is>
          <t>Tiêu chí: mã đơn trong câu trả lời trùng mã khách đưa (không bịa mã). Bộ chấm?  (chọn: Mã lệnh / Giám khảo AI / Người quyết)</t>
        </is>
      </c>
      <c r="C21" s="32" t="inlineStr">
        <is>
          <t>Mã lệnh</t>
        </is>
      </c>
      <c r="D21" s="7">
        <f>IF(C21="","",IF(C21="Mã lệnh","Đúng","Chưa đúng"))</f>
        <v/>
      </c>
      <c r="E21" s="28" t="inlineStr">
        <is>
          <t>46</t>
        </is>
      </c>
    </row>
    <row r="22" ht="33" customHeight="1" s="22">
      <c r="A22" s="26" t="inlineStr">
        <is>
          <t>4.6</t>
        </is>
      </c>
      <c r="B22" s="28" t="inlineStr">
        <is>
          <t>Tiêu chí: có gọi tra_cuu_don trước khi xác nhận đổi trả. Bộ chấm?  (chọn: Mã lệnh / Giám khảo AI / Người quyết)</t>
        </is>
      </c>
      <c r="C22" s="32" t="inlineStr">
        <is>
          <t>Mã lệnh</t>
        </is>
      </c>
      <c r="D22" s="7">
        <f>IF(C22="","",IF(C22="Mã lệnh","Đúng","Chưa đúng"))</f>
        <v/>
      </c>
      <c r="E22" s="28" t="inlineStr">
        <is>
          <t>45</t>
        </is>
      </c>
    </row>
    <row r="23" ht="33" customHeight="1" s="22">
      <c r="A23" s="26" t="inlineStr">
        <is>
          <t>4.7</t>
        </is>
      </c>
      <c r="B23" s="28" t="inlineStr">
        <is>
          <t>Tiêu chí: thời gian phản hồi dưới 2 giây. Bộ chấm?  (chọn: Mã lệnh / Giám khảo AI / Người quyết)</t>
        </is>
      </c>
      <c r="C23" s="32" t="inlineStr">
        <is>
          <t>Mã lệnh</t>
        </is>
      </c>
      <c r="D23" s="7">
        <f>IF(C23="","",IF(C23="Mã lệnh","Đúng","Chưa đúng"))</f>
        <v/>
      </c>
      <c r="E23" s="28" t="inlineStr">
        <is>
          <t>45</t>
        </is>
      </c>
    </row>
    <row r="24" ht="33" customHeight="1" s="22">
      <c r="A24" s="26" t="inlineStr">
        <is>
          <t>4.8</t>
        </is>
      </c>
      <c r="B24" s="28" t="inlineStr">
        <is>
          <t>Tiêu chí: ghi nhận cảm xúc của khách trước khi xử lý. Bộ chấm?  (chọn: Mã lệnh / Giám khảo AI / Người quyết)</t>
        </is>
      </c>
      <c r="C24" s="32" t="inlineStr">
        <is>
          <t>Giám khảo AI</t>
        </is>
      </c>
      <c r="D24" s="7">
        <f>IF(C24="","",IF(C24="Giám khảo AI","Đúng","Chưa đúng"))</f>
        <v/>
      </c>
      <c r="E24" s="28" t="inlineStr">
        <is>
          <t>40</t>
        </is>
      </c>
    </row>
    <row r="25" ht="33" customHeight="1" s="22">
      <c r="A25" s="26" t="inlineStr">
        <is>
          <t>4.9</t>
        </is>
      </c>
      <c r="B25" s="28" t="inlineStr">
        <is>
          <t>Tiêu chí: đề xuất mức đền bù cho hàng lỗi có hợp lý với từng khách không. Bộ chấm?  (chọn: Mã lệnh / Giám khảo AI / Người quyết)</t>
        </is>
      </c>
      <c r="C25" s="32" t="inlineStr">
        <is>
          <t>Người quyết</t>
        </is>
      </c>
      <c r="D25" s="7">
        <f>IF(C25="","",IF(C25="Người quyết","Đúng","Chưa đúng"))</f>
        <v/>
      </c>
      <c r="E25" s="28" t="inlineStr">
        <is>
          <t>41</t>
        </is>
      </c>
    </row>
    <row r="26" ht="33" customHeight="1" s="22">
      <c r="A26" s="26" t="inlineStr">
        <is>
          <t>4.10</t>
        </is>
      </c>
      <c r="B26" s="28" t="inlineStr">
        <is>
          <t>Đầu ra: "Ý định: Đổi hàng". Mã kiểm tra trả về?  (chọn: Đạt · đúng 1 nhãn / Không đạt · không có nhãn hợp lệ / Không đạt · nhiều hơn 1 nhãn)</t>
        </is>
      </c>
      <c r="C26" s="32" t="inlineStr">
        <is>
          <t>Đạt · đúng 1 nhãn</t>
        </is>
      </c>
      <c r="D26" s="7">
        <f>IF(C26="","",IF(C26="Đạt · đúng 1 nhãn","Đúng","Chưa đúng"))</f>
        <v/>
      </c>
      <c r="E26" s="28" t="inlineStr">
        <is>
          <t>44</t>
        </is>
      </c>
    </row>
    <row r="27" ht="33" customHeight="1" s="22">
      <c r="A27" s="26" t="inlineStr">
        <is>
          <t>4.11</t>
        </is>
      </c>
      <c r="B27" s="28" t="inlineStr">
        <is>
          <t>Đầu ra: "Ý định: đổi size". Mã kiểm tra trả về?  (chọn: Đạt · đúng 1 nhãn / Không đạt · không có nhãn hợp lệ / Không đạt · nhiều hơn 1 nhãn)</t>
        </is>
      </c>
      <c r="C27" s="32" t="inlineStr">
        <is>
          <t>Không đạt · không có nhãn hợp lệ</t>
        </is>
      </c>
      <c r="D27" s="7">
        <f>IF(C27="","",IF(C27="Không đạt · không có nhãn hợp lệ","Đúng","Chưa đúng"))</f>
        <v/>
      </c>
      <c r="E27" s="28" t="inlineStr">
        <is>
          <t>44</t>
        </is>
      </c>
    </row>
    <row r="28" ht="33" customHeight="1" s="22">
      <c r="A28" s="26" t="inlineStr">
        <is>
          <t>4.12</t>
        </is>
      </c>
      <c r="B28" s="28" t="inlineStr">
        <is>
          <t>Đầu ra: "Ý định: Đổi hàng; Trả hàng". Mã kiểm tra trả về?  (chọn: Đạt · đúng 1 nhãn / Không đạt · không có nhãn hợp lệ / Không đạt · nhiều hơn 1 nhãn)</t>
        </is>
      </c>
      <c r="C28" s="32" t="inlineStr">
        <is>
          <t>Không đạt · nhiều hơn 1 nhãn</t>
        </is>
      </c>
      <c r="D28" s="7">
        <f>IF(C28="","",IF(C28="Không đạt · nhiều hơn 1 nhãn","Đúng","Chưa đúng"))</f>
        <v/>
      </c>
      <c r="E28" s="28" t="inlineStr">
        <is>
          <t>44</t>
        </is>
      </c>
    </row>
    <row r="29" ht="33" customHeight="1" s="22">
      <c r="A29" s="26" t="inlineStr">
        <is>
          <t>4.13</t>
        </is>
      </c>
      <c r="B29" s="28" t="inlineStr">
        <is>
          <t>Một bài đánh giá mới chạy ra tỷ lệ đạt 0% trên cả 50 tin. Việc đầu tiên nên làm?</t>
        </is>
      </c>
      <c r="C29" s="32" t="inlineStr">
        <is>
          <t>B</t>
        </is>
      </c>
      <c r="D29" s="7">
        <f>IF(C29="","",IF(C29="B","Đúng","Chưa đúng"))</f>
        <v/>
      </c>
      <c r="E29" s="28" t="inlineStr">
        <is>
          <t>47</t>
        </is>
      </c>
    </row>
    <row r="30" ht="33" customHeight="1" s="22">
      <c r="A30" s="26" t="inlineStr">
        <is>
          <t>4.14</t>
        </is>
      </c>
      <c r="B30" s="28" t="inlineStr">
        <is>
          <t>Đọc bảng v1.3 / v1.4. Kết luận nào đúng?  (chọn: Phát hành / Lặp tiếp / Quay về bản cũ)</t>
        </is>
      </c>
      <c r="C30" s="32" t="inlineStr">
        <is>
          <t>Lặp tiếp</t>
        </is>
      </c>
      <c r="D30" s="7">
        <f>IF(C30="","",IF(C30="Lặp tiếp","Đúng","Chưa đúng"))</f>
        <v/>
      </c>
      <c r="E30" s="28" t="inlineStr">
        <is>
          <t>50</t>
        </is>
      </c>
    </row>
    <row r="31" ht="33" customHeight="1" s="22">
      <c r="A31" s="26" t="inlineStr">
        <is>
          <t>4.15</t>
        </is>
      </c>
      <c r="B31" s="28" t="inlineStr">
        <is>
          <t>Khi Lặp tiếp, đòn nào làm trước?  (chọn: Sửa câu lệnh / Đổi mô hình / Đổi kiến trúc)</t>
        </is>
      </c>
      <c r="C31" s="32" t="inlineStr">
        <is>
          <t>Sửa câu lệnh</t>
        </is>
      </c>
      <c r="D31" s="7">
        <f>IF(C31="","",IF(C31="Sửa câu lệnh","Đúng","Chưa đúng"))</f>
        <v/>
      </c>
      <c r="E31" s="28" t="inlineStr">
        <is>
          <t>50</t>
        </is>
      </c>
    </row>
    <row r="33" ht="18" customHeight="1" s="22">
      <c r="A33" s="26" t="inlineStr">
        <is>
          <t>Số câu đúng</t>
        </is>
      </c>
      <c r="B33" s="27" t="n"/>
      <c r="C33" s="10">
        <f>COUNTIF(D17:D31,"Đúng")</f>
        <v/>
      </c>
      <c r="D33" s="28" t="inlineStr">
        <is>
          <t>/ 15 câu</t>
        </is>
      </c>
    </row>
  </sheetData>
  <sheetProtection selectLockedCells="0" selectUnlockedCells="0" sheet="1" objects="0" insertRows="1" insertHyperlinks="1" autoFilter="1" scenarios="0" formatColumns="1" deleteColumns="1" insertColumns="1" pivotTables="1" deleteRows="1" formatCells="1" formatRows="1" sort="1" password="C716"/>
  <mergeCells count="11">
    <mergeCell ref="A4:E4"/>
    <mergeCell ref="A2:E2"/>
    <mergeCell ref="A33:B33"/>
    <mergeCell ref="A11:B11"/>
    <mergeCell ref="A10:B10"/>
    <mergeCell ref="A5:E5"/>
    <mergeCell ref="A14:E14"/>
    <mergeCell ref="A9:B9"/>
    <mergeCell ref="A6:E6"/>
    <mergeCell ref="A8:B8"/>
    <mergeCell ref="A12:B12"/>
  </mergeCells>
  <pageMargins left="0.75" right="0.75" top="1" bottom="1" header="0.511811023622047" footer="0.511811023622047"/>
  <pageSetup orientation="landscape" paperSize="9" fitToHeight="0" horizontalDpi="300" verticalDpi="300"/>
</worksheet>
</file>

<file path=xl/worksheets/sheet7.xml><?xml version="1.0" encoding="utf-8"?>
<worksheet xmlns="http://schemas.openxmlformats.org/spreadsheetml/2006/main">
  <sheetPr>
    <outlinePr summaryBelow="1" summaryRight="1"/>
    <pageSetUpPr fitToPage="1"/>
  </sheetPr>
  <dimension ref="A1:E44"/>
  <sheetViews>
    <sheetView zoomScaleNormal="100" workbookViewId="0">
      <selection activeCell="A1" sqref="A1"/>
    </sheetView>
  </sheetViews>
  <sheetFormatPr baseColWidth="8" defaultColWidth="8.7109375" defaultRowHeight="15"/>
  <cols>
    <col width="7" customWidth="1" style="22" min="1" max="1"/>
    <col width="70" customWidth="1" style="22" min="2" max="2"/>
    <col width="22" customWidth="1" style="22" min="3" max="3"/>
    <col width="14" customWidth="1" style="22" min="4" max="4"/>
    <col width="13" customWidth="1" style="22" min="5" max="5"/>
  </cols>
  <sheetData>
    <row r="1" ht="17.45" customHeight="1" s="22">
      <c r="A1" s="1" t="inlineStr">
        <is>
          <t>Bài 5 · Hiệu chỉnh giám khảo AI (10 phút) · sau Phần 06 · trang 51–59</t>
        </is>
      </c>
    </row>
    <row r="2" ht="18" customHeight="1" s="22">
      <c r="A2" s="24" t="inlineStr">
        <is>
          <t>Làm cá nhân, không tính điểm. Điền ô vàng ở cột C; cột D tự báo kết quả.</t>
        </is>
      </c>
    </row>
    <row r="4" ht="18" customHeight="1" s="22">
      <c r="A4" s="21" t="inlineStr">
        <is>
          <t>Tiêu chí: "Đạt = ghi nhận cảm xúc của khách TRƯỚC khi xử lý. Nhắc lại sự việc chưa phải là ghi nhận cảm xúc."</t>
        </is>
      </c>
    </row>
    <row r="5" ht="18" customHeight="1" s="22">
      <c r="A5" s="21" t="inlineStr">
        <is>
          <t>Chị Ngân (chuyên gia) và giám khảo AI cùng chấm 12 tin. Đ = Đạt, K = Không đạt. Ngưỡng đủ tin chốt trước: TPR và TNR đều từ 85% trở lên.</t>
        </is>
      </c>
    </row>
    <row r="6" ht="33" customHeight="1" s="22">
      <c r="A6" s="21" t="inlineStr">
        <is>
          <t>TPR = số tin cả hai cùng Đạt ÷ số tin chuyên gia chấm Đạt. TNR = số tin cả hai cùng Không đạt ÷ số tin chuyên gia chấm Không đạt (trang 53).</t>
        </is>
      </c>
    </row>
    <row r="8" ht="18" customHeight="1" s="22">
      <c r="A8" s="29" t="inlineStr">
        <is>
          <t>Tin</t>
        </is>
      </c>
      <c r="B8" s="29" t="inlineStr">
        <is>
          <t>Chuyên gia (chị Ngân)</t>
        </is>
      </c>
      <c r="C8" s="29" t="inlineStr">
        <is>
          <t>Giám khảo AI</t>
        </is>
      </c>
    </row>
    <row r="9" ht="18" customHeight="1" s="22">
      <c r="A9" s="28" t="inlineStr">
        <is>
          <t>1</t>
        </is>
      </c>
      <c r="B9" s="28" t="inlineStr">
        <is>
          <t>Đ</t>
        </is>
      </c>
      <c r="C9" s="28" t="inlineStr">
        <is>
          <t>Đ</t>
        </is>
      </c>
    </row>
    <row r="10" ht="18" customHeight="1" s="22">
      <c r="A10" s="28" t="inlineStr">
        <is>
          <t>2</t>
        </is>
      </c>
      <c r="B10" s="28" t="inlineStr">
        <is>
          <t>Đ</t>
        </is>
      </c>
      <c r="C10" s="28" t="inlineStr">
        <is>
          <t>Đ</t>
        </is>
      </c>
    </row>
    <row r="11" ht="18" customHeight="1" s="22">
      <c r="A11" s="28" t="inlineStr">
        <is>
          <t>3</t>
        </is>
      </c>
      <c r="B11" s="28" t="inlineStr">
        <is>
          <t>K</t>
        </is>
      </c>
      <c r="C11" s="28" t="inlineStr">
        <is>
          <t>Đ</t>
        </is>
      </c>
    </row>
    <row r="12" ht="18" customHeight="1" s="22">
      <c r="A12" s="28" t="inlineStr">
        <is>
          <t>4</t>
        </is>
      </c>
      <c r="B12" s="28" t="inlineStr">
        <is>
          <t>Đ</t>
        </is>
      </c>
      <c r="C12" s="28" t="inlineStr">
        <is>
          <t>Đ</t>
        </is>
      </c>
    </row>
    <row r="13" ht="18" customHeight="1" s="22">
      <c r="A13" s="28" t="inlineStr">
        <is>
          <t>5</t>
        </is>
      </c>
      <c r="B13" s="28" t="inlineStr">
        <is>
          <t>Đ</t>
        </is>
      </c>
      <c r="C13" s="28" t="inlineStr">
        <is>
          <t>K</t>
        </is>
      </c>
    </row>
    <row r="14" ht="18" customHeight="1" s="22">
      <c r="A14" s="28" t="inlineStr">
        <is>
          <t>6</t>
        </is>
      </c>
      <c r="B14" s="28" t="inlineStr">
        <is>
          <t>K</t>
        </is>
      </c>
      <c r="C14" s="28" t="inlineStr">
        <is>
          <t>K</t>
        </is>
      </c>
    </row>
    <row r="15" ht="18" customHeight="1" s="22">
      <c r="A15" s="28" t="inlineStr">
        <is>
          <t>7</t>
        </is>
      </c>
      <c r="B15" s="28" t="inlineStr">
        <is>
          <t>Đ</t>
        </is>
      </c>
      <c r="C15" s="28" t="inlineStr">
        <is>
          <t>Đ</t>
        </is>
      </c>
    </row>
    <row r="16" ht="18" customHeight="1" s="22">
      <c r="A16" s="28" t="inlineStr">
        <is>
          <t>8</t>
        </is>
      </c>
      <c r="B16" s="28" t="inlineStr">
        <is>
          <t>K</t>
        </is>
      </c>
      <c r="C16" s="28" t="inlineStr">
        <is>
          <t>Đ</t>
        </is>
      </c>
    </row>
    <row r="17" ht="18" customHeight="1" s="22">
      <c r="A17" s="28" t="inlineStr">
        <is>
          <t>9</t>
        </is>
      </c>
      <c r="B17" s="28" t="inlineStr">
        <is>
          <t>Đ</t>
        </is>
      </c>
      <c r="C17" s="28" t="inlineStr">
        <is>
          <t>Đ</t>
        </is>
      </c>
    </row>
    <row r="18" ht="18" customHeight="1" s="22">
      <c r="A18" s="28" t="inlineStr">
        <is>
          <t>10</t>
        </is>
      </c>
      <c r="B18" s="28" t="inlineStr">
        <is>
          <t>K</t>
        </is>
      </c>
      <c r="C18" s="28" t="inlineStr">
        <is>
          <t>K</t>
        </is>
      </c>
    </row>
    <row r="19" ht="18" customHeight="1" s="22">
      <c r="A19" s="28" t="inlineStr">
        <is>
          <t>11</t>
        </is>
      </c>
      <c r="B19" s="28" t="inlineStr">
        <is>
          <t>Đ</t>
        </is>
      </c>
      <c r="C19" s="28" t="inlineStr">
        <is>
          <t>Đ</t>
        </is>
      </c>
    </row>
    <row r="20" ht="18" customHeight="1" s="22">
      <c r="A20" s="28" t="inlineStr">
        <is>
          <t>12</t>
        </is>
      </c>
      <c r="B20" s="28" t="inlineStr">
        <is>
          <t>Đ</t>
        </is>
      </c>
      <c r="C20" s="28" t="inlineStr">
        <is>
          <t>Đ</t>
        </is>
      </c>
    </row>
    <row r="22" ht="33" customHeight="1" s="22">
      <c r="A22" s="21" t="inlineStr">
        <is>
          <t>Câu 5.10: A. Đạt ngưỡng, đưa giám khảo vào dùng.  ·  B. Chưa đạt vì TNR thấp: siết định nghĩa Không đạt, thêm 3–4 ví dụ trượt sát ranh, chấm lại.  ·  C. Chưa đạt vì TPR thấp: thêm ví dụ Đạt sát ranh.</t>
        </is>
      </c>
    </row>
    <row r="24" ht="18" customHeight="1" s="22">
      <c r="A24" s="29" t="inlineStr">
        <is>
          <t>Câu</t>
        </is>
      </c>
      <c r="B24" s="29" t="inlineStr">
        <is>
          <t>Đề</t>
        </is>
      </c>
      <c r="C24" s="29" t="inlineStr">
        <is>
          <t>Trả lời</t>
        </is>
      </c>
      <c r="D24" s="29" t="inlineStr">
        <is>
          <t>Kiểm tra</t>
        </is>
      </c>
      <c r="E24" s="29" t="inlineStr">
        <is>
          <t>Trang</t>
        </is>
      </c>
    </row>
    <row r="25" ht="18" customHeight="1" s="22">
      <c r="A25" s="26" t="inlineStr">
        <is>
          <t>5.1</t>
        </is>
      </c>
      <c r="B25" s="28" t="inlineStr">
        <is>
          <t>Chuyên gia chấm Đạt bao nhiêu tin?</t>
        </is>
      </c>
      <c r="C25" s="6" t="n">
        <v>8</v>
      </c>
      <c r="D25" s="7">
        <f>IF(C25="","",IF(ISNUMBER(C25),IF(ABS(C25-8)&lt;=0.01,"Đúng","Chưa đúng"),"Gõ một số"))</f>
        <v/>
      </c>
      <c r="E25" s="28" t="inlineStr">
        <is>
          <t>53</t>
        </is>
      </c>
    </row>
    <row r="26" ht="18" customHeight="1" s="22">
      <c r="A26" s="26" t="inlineStr">
        <is>
          <t>5.2</t>
        </is>
      </c>
      <c r="B26" s="28" t="inlineStr">
        <is>
          <t>Giám khảo chấm Đạt bao nhiêu tin?</t>
        </is>
      </c>
      <c r="C26" s="6" t="n">
        <v>9</v>
      </c>
      <c r="D26" s="7">
        <f>IF(C26="","",IF(ISNUMBER(C26),IF(ABS(C26-9)&lt;=0.01,"Đúng","Chưa đúng"),"Gõ một số"))</f>
        <v/>
      </c>
      <c r="E26" s="28" t="inlineStr">
        <is>
          <t>53</t>
        </is>
      </c>
    </row>
    <row r="27" ht="18" customHeight="1" s="22">
      <c r="A27" s="26" t="inlineStr">
        <is>
          <t>5.3</t>
        </is>
      </c>
      <c r="B27" s="28" t="inlineStr">
        <is>
          <t>Số tin hai bên khớp nhau?</t>
        </is>
      </c>
      <c r="C27" s="6" t="n">
        <v>9</v>
      </c>
      <c r="D27" s="7">
        <f>IF(C27="","",IF(ISNUMBER(C27),IF(ABS(C27-9)&lt;=0.01,"Đúng","Chưa đúng"),"Gõ một số"))</f>
        <v/>
      </c>
      <c r="E27" s="28" t="inlineStr">
        <is>
          <t>53</t>
        </is>
      </c>
    </row>
    <row r="28" ht="18" customHeight="1" s="22">
      <c r="A28" s="26" t="inlineStr">
        <is>
          <t>5.4</t>
        </is>
      </c>
      <c r="B28" s="28" t="inlineStr">
        <is>
          <t>Ô "cả hai Đạt" (nhận đúng ca đạt) có bao nhiêu tin?</t>
        </is>
      </c>
      <c r="C28" s="6" t="n">
        <v>7</v>
      </c>
      <c r="D28" s="7">
        <f>IF(C28="","",IF(ISNUMBER(C28),IF(ABS(C28-7)&lt;=0.01,"Đúng","Chưa đúng"),"Gõ một số"))</f>
        <v/>
      </c>
      <c r="E28" s="28" t="inlineStr">
        <is>
          <t>53</t>
        </is>
      </c>
    </row>
    <row r="29" ht="18" customHeight="1" s="22">
      <c r="A29" s="26" t="inlineStr">
        <is>
          <t>5.5</t>
        </is>
      </c>
      <c r="B29" s="28" t="inlineStr">
        <is>
          <t>Ô "giám khảo Đạt, chuyên gia Không đạt" (cho qua lỗi) có bao nhiêu tin?</t>
        </is>
      </c>
      <c r="C29" s="6" t="n">
        <v>2</v>
      </c>
      <c r="D29" s="7">
        <f>IF(C29="","",IF(ISNUMBER(C29),IF(ABS(C29-2)&lt;=0.01,"Đúng","Chưa đúng"),"Gõ một số"))</f>
        <v/>
      </c>
      <c r="E29" s="28" t="inlineStr">
        <is>
          <t>53</t>
        </is>
      </c>
    </row>
    <row r="30" ht="18" customHeight="1" s="22">
      <c r="A30" s="26" t="inlineStr">
        <is>
          <t>5.6</t>
        </is>
      </c>
      <c r="B30" s="28" t="inlineStr">
        <is>
          <t>Ô "giám khảo Không đạt, chuyên gia Đạt" (chặn nhầm) có bao nhiêu tin?</t>
        </is>
      </c>
      <c r="C30" s="6" t="n">
        <v>1</v>
      </c>
      <c r="D30" s="7">
        <f>IF(C30="","",IF(ISNUMBER(C30),IF(ABS(C30-1)&lt;=0.01,"Đúng","Chưa đúng"),"Gõ một số"))</f>
        <v/>
      </c>
      <c r="E30" s="28" t="inlineStr">
        <is>
          <t>53</t>
        </is>
      </c>
    </row>
    <row r="31" ht="18" customHeight="1" s="22">
      <c r="A31" s="26" t="inlineStr">
        <is>
          <t>5.7</t>
        </is>
      </c>
      <c r="B31" s="28" t="inlineStr">
        <is>
          <t>Ô "cả hai Không đạt" (bắt đúng ca trượt) có bao nhiêu tin?</t>
        </is>
      </c>
      <c r="C31" s="6" t="n">
        <v>2</v>
      </c>
      <c r="D31" s="7">
        <f>IF(C31="","",IF(ISNUMBER(C31),IF(ABS(C31-2)&lt;=0.01,"Đúng","Chưa đúng"),"Gõ một số"))</f>
        <v/>
      </c>
      <c r="E31" s="28" t="inlineStr">
        <is>
          <t>53</t>
        </is>
      </c>
    </row>
    <row r="32" ht="18" customHeight="1" s="22">
      <c r="A32" s="26" t="inlineStr">
        <is>
          <t>5.8</t>
        </is>
      </c>
      <c r="B32" s="28" t="inlineStr">
        <is>
          <t>TPR là bao nhiêu? (gõ kèm %, 1 chữ số thập phân)</t>
        </is>
      </c>
      <c r="C32" s="11" t="n">
        <v>0.875</v>
      </c>
      <c r="D32" s="7">
        <f>IF(C32="","",IF(ISNUMBER(C32),IF(OR(ABS(C32-0.875)&lt;=0.006,ABS(C32-87.5)&lt;=0.6),"Đúng","Chưa đúng"),"Gõ một số"))</f>
        <v/>
      </c>
      <c r="E32" s="28" t="inlineStr">
        <is>
          <t>53</t>
        </is>
      </c>
    </row>
    <row r="33" ht="18" customHeight="1" s="22">
      <c r="A33" s="26" t="inlineStr">
        <is>
          <t>5.9</t>
        </is>
      </c>
      <c r="B33" s="28" t="inlineStr">
        <is>
          <t>TNR là bao nhiêu? (gõ kèm %)</t>
        </is>
      </c>
      <c r="C33" s="8" t="n">
        <v>0.5</v>
      </c>
      <c r="D33" s="7">
        <f>IF(C33="","",IF(ISNUMBER(C33),IF(OR(ABS(C33-0.5)&lt;=0.006,ABS(C33-50)&lt;=0.6),"Đúng","Chưa đúng"),"Gõ một số"))</f>
        <v/>
      </c>
      <c r="E33" s="28" t="inlineStr">
        <is>
          <t>53</t>
        </is>
      </c>
    </row>
    <row r="34" ht="18" customHeight="1" s="22">
      <c r="A34" s="26" t="inlineStr">
        <is>
          <t>5.10</t>
        </is>
      </c>
      <c r="B34" s="28" t="inlineStr">
        <is>
          <t>Với ngưỡng 85%, kết luận nào đúng?</t>
        </is>
      </c>
      <c r="C34" s="32" t="inlineStr">
        <is>
          <t>B</t>
        </is>
      </c>
      <c r="D34" s="7">
        <f>IF(C34="","",IF(C34="B","Đúng","Chưa đúng"))</f>
        <v/>
      </c>
      <c r="E34" s="28" t="inlineStr">
        <is>
          <t>56</t>
        </is>
      </c>
    </row>
    <row r="35" ht="18" customHeight="1" s="22">
      <c r="A35" s="26" t="inlineStr">
        <is>
          <t>5.11</t>
        </is>
      </c>
      <c r="B35" s="28" t="inlineStr">
        <is>
          <t>Ô nào nguy hiểm nhất?  (chọn: Cho qua lỗi / Chặn nhầm)</t>
        </is>
      </c>
      <c r="C35" s="32" t="inlineStr">
        <is>
          <t>Cho qua lỗi</t>
        </is>
      </c>
      <c r="D35" s="7">
        <f>IF(C35="","",IF(C35="Cho qua lỗi","Đúng","Chưa đúng"))</f>
        <v/>
      </c>
      <c r="E35" s="28" t="inlineStr">
        <is>
          <t>53</t>
        </is>
      </c>
    </row>
    <row r="36" ht="63" customHeight="1" s="22">
      <c r="A36" s="26" t="inlineStr">
        <is>
          <t>5.12</t>
        </is>
      </c>
      <c r="B36" s="28" t="inlineStr">
        <is>
          <t>Nâng cao. Hệ số kappa: κ = (Po − Pe) ÷ (1 − Pe), với Po = tỷ lệ khớp, Pe = (tỷ lệ Đạt của giám khảo × tỷ lệ Đạt của chuyên gia) + (tỷ lệ Không đạt của giám khảo × tỷ lệ Không đạt của chuyên gia). κ bằng bao nhiêu? (2 chữ số thập phân)</t>
        </is>
      </c>
      <c r="C36" s="12" t="n">
        <v>0.4</v>
      </c>
      <c r="D36" s="7">
        <f>IF(C36="","",IF(ISNUMBER(C36),IF(ABS(C36-0.4)&lt;=0.006,"Đúng","Chưa đúng"),"Gõ một số"))</f>
        <v/>
      </c>
      <c r="E36" s="28" t="inlineStr">
        <is>
          <t>55</t>
        </is>
      </c>
    </row>
    <row r="37" ht="33" customHeight="1" s="22">
      <c r="A37" s="26" t="inlineStr">
        <is>
          <t>5.13</t>
        </is>
      </c>
      <c r="B37" s="28" t="inlineStr">
        <is>
          <t>Sau 3 vòng: tập hiệu chỉnh TPR 90%, TNR 89%; tập kiểm tra giữ riêng TPR 88%, TNR 85%. Chênh lớn nhất giữa hai tập là bao nhiêu điểm?</t>
        </is>
      </c>
      <c r="C37" s="6" t="n">
        <v>4</v>
      </c>
      <c r="D37" s="7">
        <f>IF(C37="","",IF(ISNUMBER(C37),IF(ABS(C37-4)&lt;=0.01,"Đúng","Chưa đúng"),"Gõ một số"))</f>
        <v/>
      </c>
      <c r="E37" s="28" t="inlineStr">
        <is>
          <t>56</t>
        </is>
      </c>
    </row>
    <row r="38" ht="33" customHeight="1" s="22">
      <c r="A38" s="26" t="inlineStr">
        <is>
          <t>5.14</t>
        </is>
      </c>
      <c r="B38" s="28" t="inlineStr">
        <is>
          <t>Với kết quả câu 5.13, giám khảo đã hiệu chỉnh xong (chênh ≤ 5 điểm, cả hai ≥ 85%) chưa?  (chọn: Có / Không)</t>
        </is>
      </c>
      <c r="C38" s="32" t="inlineStr">
        <is>
          <t>Có</t>
        </is>
      </c>
      <c r="D38" s="7">
        <f>IF(C38="","",IF(C38="Có","Đúng","Chưa đúng"))</f>
        <v/>
      </c>
      <c r="E38" s="28" t="inlineStr">
        <is>
          <t>56</t>
        </is>
      </c>
    </row>
    <row r="39" ht="33" customHeight="1" s="22">
      <c r="A39" s="26" t="inlineStr">
        <is>
          <t>5.15</t>
        </is>
      </c>
      <c r="B39" s="28" t="inlineStr">
        <is>
          <t>"Giám khảo cùng họ mô hình với trợ lý sẽ chấm công bằng hơn vì hiểu cách nó trả lời."  (chọn: Đúng / Sai)</t>
        </is>
      </c>
      <c r="C39" s="32" t="inlineStr">
        <is>
          <t>Sai</t>
        </is>
      </c>
      <c r="D39" s="7">
        <f>IF(C39="","",IF(C39="Sai","Đúng","Chưa đúng"))</f>
        <v/>
      </c>
      <c r="E39" s="28" t="inlineStr">
        <is>
          <t>55</t>
        </is>
      </c>
    </row>
    <row r="40" ht="18" customHeight="1" s="22">
      <c r="A40" s="26" t="inlineStr">
        <is>
          <t>5.16</t>
        </is>
      </c>
      <c r="B40" s="28" t="inlineStr">
        <is>
          <t>"Cho giám khảo chấm thang 1–10 để kết quả chi tiết hơn."  (chọn: Đúng / Sai)</t>
        </is>
      </c>
      <c r="C40" s="32" t="inlineStr">
        <is>
          <t>Sai</t>
        </is>
      </c>
      <c r="D40" s="7">
        <f>IF(C40="","",IF(C40="Sai","Đúng","Chưa đúng"))</f>
        <v/>
      </c>
      <c r="E40" s="28" t="inlineStr">
        <is>
          <t>52</t>
        </is>
      </c>
    </row>
    <row r="41" ht="18" customHeight="1" s="22">
      <c r="A41" s="26" t="inlineStr">
        <is>
          <t>5.17</t>
        </is>
      </c>
      <c r="B41" s="28" t="inlineStr">
        <is>
          <t>"Dùng 3 giám khảo thì lấy kết luận theo đa số phiếu."  (chọn: Đúng / Sai)</t>
        </is>
      </c>
      <c r="C41" s="32" t="inlineStr">
        <is>
          <t>Sai</t>
        </is>
      </c>
      <c r="D41" s="7">
        <f>IF(C41="","",IF(C41="Sai","Đúng","Chưa đúng"))</f>
        <v/>
      </c>
      <c r="E41" s="28" t="inlineStr">
        <is>
          <t>55</t>
        </is>
      </c>
    </row>
    <row r="42" ht="33" customHeight="1" s="22">
      <c r="A42" s="26" t="inlineStr">
        <is>
          <t>5.18</t>
        </is>
      </c>
      <c r="B42" s="28" t="inlineStr">
        <is>
          <t>"Khi chính các chuyên gia chấm lệch nhau nhiều, phải sửa tiêu chí trước khi nghĩ đến tự động hóa."  (chọn: Đúng / Sai)</t>
        </is>
      </c>
      <c r="C42" s="32" t="inlineStr">
        <is>
          <t>Đúng</t>
        </is>
      </c>
      <c r="D42" s="7">
        <f>IF(C42="","",IF(C42="Đúng","Đúng","Chưa đúng"))</f>
        <v/>
      </c>
      <c r="E42" s="28" t="inlineStr">
        <is>
          <t>58</t>
        </is>
      </c>
    </row>
    <row r="44" ht="18" customHeight="1" s="22">
      <c r="A44" s="26" t="inlineStr">
        <is>
          <t>Số câu đúng</t>
        </is>
      </c>
      <c r="B44" s="27" t="n"/>
      <c r="C44" s="10">
        <f>COUNTIF(D25:D42,"Đúng")</f>
        <v/>
      </c>
      <c r="D44" s="28" t="inlineStr">
        <is>
          <t>/ 18 câu</t>
        </is>
      </c>
    </row>
  </sheetData>
  <sheetProtection selectLockedCells="0" selectUnlockedCells="0" sheet="1" objects="0" insertRows="1" insertHyperlinks="1" autoFilter="1" scenarios="0" formatColumns="1" deleteColumns="1" insertColumns="1" pivotTables="1" deleteRows="1" formatCells="1" formatRows="1" sort="1" password="C716"/>
  <mergeCells count="6">
    <mergeCell ref="A4:E4"/>
    <mergeCell ref="A2:E2"/>
    <mergeCell ref="A5:E5"/>
    <mergeCell ref="A44:B44"/>
    <mergeCell ref="A6:E6"/>
    <mergeCell ref="A22:E22"/>
  </mergeCells>
  <pageMargins left="0.75" right="0.75" top="1" bottom="1" header="0.511811023622047" footer="0.511811023622047"/>
  <pageSetup orientation="landscape" paperSize="9" fitToHeight="0" horizontalDpi="300" verticalDpi="300"/>
</worksheet>
</file>

<file path=xl/worksheets/sheet8.xml><?xml version="1.0" encoding="utf-8"?>
<worksheet xmlns="http://schemas.openxmlformats.org/spreadsheetml/2006/main">
  <sheetPr>
    <outlinePr summaryBelow="1" summaryRight="1"/>
    <pageSetUpPr fitToPage="1"/>
  </sheetPr>
  <dimension ref="A1:G112"/>
  <sheetViews>
    <sheetView zoomScaleNormal="100" workbookViewId="0">
      <selection activeCell="A1" sqref="A1"/>
    </sheetView>
  </sheetViews>
  <sheetFormatPr baseColWidth="8" defaultColWidth="8.7109375" defaultRowHeight="15"/>
  <cols>
    <col width="7" customWidth="1" style="22" min="1" max="1"/>
    <col width="34" customWidth="1" style="22" min="2" max="2"/>
    <col width="40" customWidth="1" style="22" min="3" max="3"/>
    <col width="34" customWidth="1" style="22" min="4" max="4"/>
    <col width="22" customWidth="1" style="22" min="5" max="5"/>
    <col width="16" customWidth="1" style="22" min="6" max="7"/>
  </cols>
  <sheetData>
    <row r="1" ht="17.45" customHeight="1" s="22">
      <c r="A1" s="1" t="inlineStr">
        <is>
          <t>Xưởng · Bộ đánh giá cho trợ lý đổi trả Mộc (50 phút, làm theo nhóm, có chấm điểm)</t>
        </is>
      </c>
    </row>
    <row r="2" ht="33" customHeight="1" s="22">
      <c r="A2" s="24" t="inlineStr">
        <is>
          <t>Thứ tự: X1 → X7. Làm trong phòng nhóm 12:10–12:53 (43 phút, thời gian gợi ý ở mỗi phần); 12:53–12:56 soát và nộp. Hết giờ phần nào thì để nguyên, làm phần sau. Ô "Kiểm tra" chỉ soát những chỗ có đáp án duy nhất; phần viết tự do giảng viên chấm theo trang "Thang điểm".</t>
        </is>
      </c>
    </row>
    <row r="3" ht="18" customHeight="1" s="22">
      <c r="A3" s="26" t="inlineStr">
        <is>
          <t>Tên nhóm và thành viên:</t>
        </is>
      </c>
      <c r="B3" s="27" t="n"/>
      <c r="C3" s="32" t="inlineStr">
        <is>
          <t>Đinh Xuân Quyền (Thực hiện cá nhân - Nhóm 03)</t>
        </is>
      </c>
      <c r="D3" s="34" t="n"/>
      <c r="E3" s="34" t="n"/>
      <c r="F3" s="34" t="n"/>
      <c r="G3" s="33" t="n"/>
    </row>
    <row r="5" ht="18" customHeight="1" s="22">
      <c r="A5" s="31" t="inlineStr">
        <is>
          <t>X1 · Đơn vị công việc AI (4 phút · 1 điểm)</t>
        </is>
      </c>
    </row>
    <row r="6" ht="18" customHeight="1" s="22">
      <c r="A6" s="21" t="inlineStr">
        <is>
          <t>Viết 1 câu: Đọc [đầu vào] → [đầu ra kiểm được], [ràng buộc]. Khác với câu 1.8 của Bài 1: chọn việc SOẠN CÂU TRẢ LỜI đổi trả, không phải việc gắn nhãn.</t>
        </is>
      </c>
    </row>
    <row r="7" ht="61.5" customHeight="1" s="22">
      <c r="A7" s="26" t="inlineStr">
        <is>
          <t>Câu của nhóm</t>
        </is>
      </c>
      <c r="B7" s="27" t="n"/>
      <c r="C7" s="32" t="inlineStr">
        <is>
          <t>Đọc 1 tin nhắn yêu cầu đổi trả của khách và dữ liệu đơn hàng trong hệ thống → soạn câu phản hồi theo đúng chính sách CS-1 đến CS-6 kèm bước hành động tiếp theo, thời gian phản hồi dưới 2 giây; chuyển nhân viên khi khách yêu cầu gặp người hoặc khiếu nại hàng lỗi.</t>
        </is>
      </c>
      <c r="D7" s="34" t="n"/>
      <c r="E7" s="34" t="n"/>
      <c r="F7" s="33" t="n"/>
      <c r="G7" s="7">
        <f>IF(C7="","",IF(LEN(C7)&lt;60,"Viết rõ hơn",IF(ISNUMBER(SEARCH("→",C7))=FALSE(),"Thiếu dấu →",IF(ISNUMBER(SEARCH("tốt",C7))+ISNUMBER(SEARCH("hợp lý",C7))+ISNUMBER(SEARCH("phù hợp",C7))+ISNUMBER(SEARCH("đầy đủ",C7))+ISNUMBER(SEARCH("chính xác",C7))+ISNUMBER(SEARCH("hài lòng",C7))+ISNUMBER(SEARCH("thân thiện",C7))&gt;0,"Còn từ mơ hồ","Đạt"))))</f>
        <v/>
      </c>
    </row>
    <row r="9" ht="18" customHeight="1" s="22">
      <c r="A9" s="31" t="inlineStr">
        <is>
          <t>X2 · Chiều và phễu (6 phút · 1 điểm)</t>
        </is>
      </c>
    </row>
    <row r="10" ht="18" customHeight="1" s="22">
      <c r="A10" s="21" t="inlineStr">
        <is>
          <t>Chọn 3 chiều qua phép thử (ghi rõ hành vi đúng đổi thế nào), số giá trị mỗi chiều, số tổ hợp phi lý loại đi, số tình huống chọn, số cách diễn đạt. File tự tính số đầu vào.</t>
        </is>
      </c>
    </row>
    <row r="11" ht="18" customHeight="1" s="22">
      <c r="A11" s="29" t="inlineStr">
        <is>
          <t>#</t>
        </is>
      </c>
      <c r="B11" s="29" t="inlineStr">
        <is>
          <t>Chiều</t>
        </is>
      </c>
      <c r="C11" s="29" t="inlineStr">
        <is>
          <t>Số giá trị</t>
        </is>
      </c>
      <c r="D11" s="29" t="inlineStr">
        <is>
          <t>Hành vi đúng đổi thế nào khi đổi giá trị (phép thử, trang 26)</t>
        </is>
      </c>
      <c r="E11" s="30" t="n"/>
      <c r="F11" s="30" t="n"/>
      <c r="G11" s="27" t="n"/>
    </row>
    <row r="12" ht="33.75" customHeight="1" s="22">
      <c r="A12" s="28" t="inlineStr">
        <is>
          <t>1</t>
        </is>
      </c>
      <c r="B12" s="32" t="inlineStr">
        <is>
          <t>Mục đích yêu cầu của khách (Ý định)</t>
        </is>
      </c>
      <c r="C12" s="6" t="n">
        <v>4</v>
      </c>
      <c r="D12" s="32" t="inlineStr">
        <is>
          <t>Đổi giá trị giữa Đổi hàng, Trả hàng, Tra cứu đơn, Cần làm rõ → hành vi đúng đổi nhánh xử lý, công cụ gọi khác nhau (CS-1, CS-2, CS-4, CS-5)</t>
        </is>
      </c>
      <c r="E12" s="34" t="n"/>
      <c r="F12" s="34" t="n"/>
      <c r="G12" s="33" t="n"/>
    </row>
    <row r="13" ht="33.75" customHeight="1" s="22">
      <c r="A13" s="28" t="inlineStr">
        <is>
          <t>2</t>
        </is>
      </c>
      <c r="B13" s="32" t="inlineStr">
        <is>
          <t>Thời gian nhận hàng và tình trạng sản phẩm</t>
        </is>
      </c>
      <c r="C13" s="6" t="n">
        <v>3</v>
      </c>
      <c r="D13" s="32" t="inlineStr">
        <is>
          <t>Đổi giá trị giữa trong 7 ngày, quá 7 ngày, hàng lỗi trong 30 ngày → hành vi đổi từ chấp nhận đổi trả sang từ chối hoặc chuyển nhân viên theo CS-1, CS-2, CS-3</t>
        </is>
      </c>
      <c r="E13" s="34" t="n"/>
      <c r="F13" s="34" t="n"/>
      <c r="G13" s="33" t="n"/>
    </row>
    <row r="14" ht="33.75" customHeight="1" s="22">
      <c r="A14" s="28" t="inlineStr">
        <is>
          <t>3</t>
        </is>
      </c>
      <c r="B14" s="32" t="inlineStr">
        <is>
          <t>Mức độ cung cấp thông tin mã đơn</t>
        </is>
      </c>
      <c r="C14" s="6" t="n">
        <v>3</v>
      </c>
      <c r="D14" s="32" t="inlineStr">
        <is>
          <t>Đổi giá trị giữa có mã đơn, chỉ có số điện thoại, không có thông tin → hành vi đổi từ tra cứu trực tiếp sang tra cứu theo SĐT hoặc dừng lại hỏi mã đơn theo CS-5</t>
        </is>
      </c>
      <c r="E14" s="34" t="n"/>
      <c r="F14" s="34" t="n"/>
      <c r="G14" s="33" t="n"/>
    </row>
    <row r="15" ht="18" customHeight="1" s="22">
      <c r="A15" s="26" t="inlineStr">
        <is>
          <t>Số tổ hợp (tự tính)</t>
        </is>
      </c>
      <c r="B15" s="27" t="n"/>
      <c r="C15" s="13">
        <f>IF(COUNT(C12:C14)&lt;3,"",PRODUCT(C12:C14))</f>
        <v/>
      </c>
    </row>
    <row r="16" ht="18" customHeight="1" s="22">
      <c r="A16" s="26" t="inlineStr">
        <is>
          <t>Số tổ hợp phi lý loại đi</t>
        </is>
      </c>
      <c r="B16" s="27" t="n"/>
      <c r="C16" s="6" t="n">
        <v>12</v>
      </c>
    </row>
    <row r="17" ht="18" customHeight="1" s="22">
      <c r="A17" s="26" t="inlineStr">
        <is>
          <t>Còn lại (tự tính)</t>
        </is>
      </c>
      <c r="B17" s="27" t="n"/>
      <c r="C17" s="13">
        <f>IF(OR(C15="",C16=""),"",C15-C16)</f>
        <v/>
      </c>
    </row>
    <row r="18" ht="18" customHeight="1" s="22">
      <c r="A18" s="26" t="inlineStr">
        <is>
          <t>Số tình huống chọn để thử</t>
        </is>
      </c>
      <c r="B18" s="27" t="n"/>
      <c r="C18" s="6" t="n">
        <v>15</v>
      </c>
      <c r="D18" s="7">
        <f>IF(OR(C18="",C17=""),"",IF(C18&gt;C17,"Chọn nhiều hơn số còn lại","Đạt"))</f>
        <v/>
      </c>
    </row>
    <row r="19" ht="18" customHeight="1" s="22">
      <c r="A19" s="26" t="inlineStr">
        <is>
          <t>Số cách diễn đạt mỗi tình huống</t>
        </is>
      </c>
      <c r="B19" s="27" t="n"/>
      <c r="C19" s="6" t="n">
        <v>3</v>
      </c>
    </row>
    <row r="20" ht="18" customHeight="1" s="22">
      <c r="A20" s="26" t="inlineStr">
        <is>
          <t>Số đầu vào của bộ đề (tự tính)</t>
        </is>
      </c>
      <c r="B20" s="27" t="n"/>
      <c r="C20" s="10">
        <f>IF(OR(C18="",C19=""),"",C18*C19)</f>
        <v/>
      </c>
      <c r="D20" s="7">
        <f>IF(C20="","",IF(AND(C20&gt;=40,C20&lt;=50),"Đạt","Nên trong khoảng 40–50 (trang 29)"))</f>
        <v/>
      </c>
    </row>
    <row r="22" ht="18" customHeight="1" s="22">
      <c r="A22" s="31" t="inlineStr">
        <is>
          <t>X3 · 8 tình huống (9 phút · 2 điểm)</t>
        </is>
      </c>
    </row>
    <row r="23" ht="18" customHeight="1" s="22">
      <c r="A23" s="21" t="inlineStr">
        <is>
          <t>8 tình huống cho trợ lý Mộc: tin nhắn của khách, hành vi đúng mong đợi (dẫn chính sách CS-1 đến CS-6), loại tình huống. Có đủ 3 loại; ít nhất 3 tình huống thử thách.</t>
        </is>
      </c>
    </row>
    <row r="24" ht="18" customHeight="1" s="22">
      <c r="A24" s="29" t="inlineStr">
        <is>
          <t>#</t>
        </is>
      </c>
      <c r="B24" s="29" t="inlineStr">
        <is>
          <t>Tin nhắn của khách</t>
        </is>
      </c>
      <c r="C24" s="29" t="inlineStr">
        <is>
          <t>Hành vi đúng mong đợi (dẫn CS-1 đến CS-6)</t>
        </is>
      </c>
      <c r="D24" s="27" t="n"/>
      <c r="E24" s="29" t="inlineStr">
        <is>
          <t>Loại tình huống</t>
        </is>
      </c>
    </row>
    <row r="25" ht="48" customHeight="1" s="22">
      <c r="A25" s="28" t="inlineStr">
        <is>
          <t>1</t>
        </is>
      </c>
      <c r="B25" s="32" t="inlineStr">
        <is>
          <t>Mình nhận áo hôm qua size M bị chật, muốn đổi sang size L giúp mình, mã đơn MS-1025.</t>
        </is>
      </c>
      <c r="C25" s="32" t="inlineStr">
        <is>
          <t>Tra cứu đơn MS-1025, xác định còn trong hạn 7 ngày và hàng còn tem mác theo CS-1, CS-4; hướng dẫn khách gửi hàng và tạo yêu cầu đổi size L miễn phí lần đầu.</t>
        </is>
      </c>
      <c r="D25" s="33" t="n"/>
      <c r="E25" s="32" t="inlineStr">
        <is>
          <t>Đại diện</t>
        </is>
      </c>
    </row>
    <row r="26" ht="48" customHeight="1" s="22">
      <c r="A26" s="28" t="inlineStr">
        <is>
          <t>2</t>
        </is>
      </c>
      <c r="B26" s="32" t="inlineStr">
        <is>
          <t>Đơn hàng MS-1088 mình nhận 3 ngày trước, mình muốn trả váy lấy lại tiền thì thủ tục thế nào shop?</t>
        </is>
      </c>
      <c r="C26" s="32" t="inlineStr">
        <is>
          <t>Tra cứu đơn MS-1088 theo CS-4, thông báo khách đủ điều kiện trả hàng trong 7 ngày theo CS-2, hướng dẫn đóng gói gửi lại kho và giải thích tiền hoàn trong 3–5 ngày làm việc sau khi kho nhận hàng.</t>
        </is>
      </c>
      <c r="D26" s="33" t="n"/>
      <c r="E26" s="32" t="inlineStr">
        <is>
          <t>Đại diện</t>
        </is>
      </c>
    </row>
    <row r="27" ht="48" customHeight="1" s="22">
      <c r="A27" s="28" t="inlineStr">
        <is>
          <t>3</t>
        </is>
      </c>
      <c r="B27" s="32" t="inlineStr">
        <is>
          <t>Shop ơi cái đơn hôm trước giao mình muốn đổi mẫu khác, đổi sao ạ?</t>
        </is>
      </c>
      <c r="C27" s="32" t="inlineStr">
        <is>
          <t>Khách không cung cấp mã đơn; theo CS-5 trợ lý không được đoán đơn, phải lịch sự hỏi xin mã đơn hoặc số điện thoại đặt hàng trước khi tư vấn tiếp.</t>
        </is>
      </c>
      <c r="D27" s="33" t="n"/>
      <c r="E27" s="32" t="inlineStr">
        <is>
          <t>Thử thách</t>
        </is>
      </c>
    </row>
    <row r="28" ht="48" customHeight="1" s="22">
      <c r="A28" s="28" t="inlineStr">
        <is>
          <t>4</t>
        </is>
      </c>
      <c r="B28" s="32" t="inlineStr">
        <is>
          <t>Mình có 2 đơn: đơn MS-1101 nhận hôm qua muốn đổi màu đen, còn đơn MS-1102 nhận tuần trước muốn trả hàng hoàn tiền.</t>
        </is>
      </c>
      <c r="C28" s="32" t="inlineStr">
        <is>
          <t>Tách 2 ý định trong 1 tin nhắn; tra cứu cả hai đơn theo CS-4: xử lý đổi màu cho MS-1101 theo CS-1 và kiểm tra hạn 7 ngày của MS-1102 để hướng dẫn trả hàng theo CS-2.</t>
        </is>
      </c>
      <c r="D28" s="33" t="n"/>
      <c r="E28" s="32" t="inlineStr">
        <is>
          <t>Thử thách</t>
        </is>
      </c>
    </row>
    <row r="29" ht="48" customHeight="1" s="22">
      <c r="A29" s="28" t="inlineStr">
        <is>
          <t>5</t>
        </is>
      </c>
      <c r="B29" s="32" t="inlineStr">
        <is>
          <t>Đôi giày MS-0980 mình nhận được 20 ngày rồi nhưng hôm qua đi trời mưa thì bị rách và bong hết keo đế, shop giải quyết gấp.</t>
        </is>
      </c>
      <c r="C29" s="32" t="inlineStr">
        <is>
          <t>Xác định đây là hàng lỗi trong thời hạn 30 ngày theo CS-3; trợ lý không được tự hứa đền bù mà phải gọi công cụ chuyen_nhan_vien theo CS-6 kèm ghi chú hàng lỗi để nhân viên xử lý.</t>
        </is>
      </c>
      <c r="D29" s="33" t="n"/>
      <c r="E29" s="32" t="inlineStr">
        <is>
          <t>Thử thách</t>
        </is>
      </c>
    </row>
    <row r="30" ht="48" customHeight="1" s="22">
      <c r="A30" s="28" t="inlineStr">
        <is>
          <t>6</t>
        </is>
      </c>
      <c r="B30" s="32" t="inlineStr">
        <is>
          <t>Cho mình gặp nhân viên tư vấn đi, bot nói chuyện vòng vo quá.</t>
        </is>
      </c>
      <c r="C30" s="32" t="inlineStr">
        <is>
          <t>Khách yêu cầu gặp người theo CS-6; trợ lý phải lập tức gọi công cụ chuyen_nhan_vien chuyển cuộc trò chuyện cho nhân viên CSKH trực, không tiếp tục giữ bot.</t>
        </is>
      </c>
      <c r="D30" s="33" t="n"/>
      <c r="E30" s="32" t="inlineStr">
        <is>
          <t>Thử thách</t>
        </is>
      </c>
    </row>
    <row r="31" ht="48" customHeight="1" s="22">
      <c r="A31" s="28" t="inlineStr">
        <is>
          <t>7</t>
        </is>
      </c>
      <c r="B31" s="32" t="inlineStr">
        <is>
          <t>Đơn MS-0950 mình nhận 15 ngày rồi, mặc không hợp muốn trả lấy lại tiền được không?</t>
        </is>
      </c>
      <c r="C31" s="32" t="inlineStr">
        <is>
          <t>Tra cứu đơn MS-0950 theo CS-4, xác định đơn đã quá hạn 7 ngày theo CS-2; từ chối yêu cầu trả hàng một cách lịch sự, tuyệt đối không được hứa hoàn tiền (chống lỗi hồi quy của bản cũ).</t>
        </is>
      </c>
      <c r="D31" s="33" t="n"/>
      <c r="E31" s="32" t="inlineStr">
        <is>
          <t>Hồi quy nghiêm trọng</t>
        </is>
      </c>
    </row>
    <row r="32" ht="48" customHeight="1" s="22">
      <c r="A32" s="28" t="inlineStr">
        <is>
          <t>8</t>
        </is>
      </c>
      <c r="B32" s="32" t="inlineStr">
        <is>
          <t>Cho mình hỏi đơn hàng MS-1205 mình đặt hôm qua đã gửi đi chưa ạ?</t>
        </is>
      </c>
      <c r="C32" s="32" t="inlineStr">
        <is>
          <t>Nhận diện đúng ý định Tra cứu đơn; gọi tra_cuu_don(MS-1205) theo CS-4 và thông báo trạng thái vận chuyển hiện tại cho khách.</t>
        </is>
      </c>
      <c r="D32" s="33" t="n"/>
      <c r="E32" s="32" t="inlineStr">
        <is>
          <t>Đại diện</t>
        </is>
      </c>
    </row>
    <row r="33" ht="18" customHeight="1" s="22">
      <c r="B33" s="26" t="inlineStr">
        <is>
          <t>Số tình huống đại diện</t>
        </is>
      </c>
      <c r="C33" s="13">
        <f>COUNTIF(E25:E32,"Đại diện")</f>
        <v/>
      </c>
    </row>
    <row r="34" ht="18" customHeight="1" s="22">
      <c r="B34" s="26" t="inlineStr">
        <is>
          <t>Số tình huống thử thách</t>
        </is>
      </c>
      <c r="C34" s="13">
        <f>COUNTIF(E25:E32,"Thử thách")</f>
        <v/>
      </c>
    </row>
    <row r="35" ht="18" customHeight="1" s="22">
      <c r="B35" s="26" t="inlineStr">
        <is>
          <t>Số tình huống hồi quy nghiêm trọng</t>
        </is>
      </c>
      <c r="C35" s="13">
        <f>COUNTIF(E25:E32,"Hồi quy nghiêm trọng")</f>
        <v/>
      </c>
    </row>
    <row r="36" ht="18" customHeight="1" s="22">
      <c r="B36" s="26" t="inlineStr">
        <is>
          <t>Kiểm tra</t>
        </is>
      </c>
      <c r="C36" s="7">
        <f>IF(COUNTA(E25:E32)=0,"",IF(COUNTA(B25:B32)&lt;8,"Chưa đủ 8 tình huống",IF(COUNTIF(E25:E32,"Đại diện")*COUNTIF(E25:E32,"Thử thách")*COUNTIF(E25:E32,"Hồi quy nghiêm trọng")=0,"Thiếu một loại",IF(COUNTIF(E25:E32,"Thử thách")&lt;3,"Cần ít nhất 3 tình huống thử thách","Đạt"))))</f>
        <v/>
      </c>
    </row>
    <row r="38" ht="18" customHeight="1" s="22">
      <c r="A38" s="31" t="inlineStr">
        <is>
          <t>X4 · Đọc 3 vết thực thi mới (7 phút · 1,5 điểm)</t>
        </is>
      </c>
    </row>
    <row r="39" ht="18" customHeight="1" s="22">
      <c r="A39" s="21" t="inlineStr">
        <is>
          <t>Với W1, W2, W3: bước sai đầu tiên, mã lỗi gốc, nên sửa ở đâu.</t>
        </is>
      </c>
    </row>
    <row r="40" ht="18" customHeight="1" s="22">
      <c r="A40" s="29" t="inlineStr">
        <is>
          <t>Vết</t>
        </is>
      </c>
      <c r="B40" s="29" t="inlineStr">
        <is>
          <t>Bước · loại · nội dung</t>
        </is>
      </c>
      <c r="C40" s="30" t="n"/>
      <c r="D40" s="30" t="n"/>
      <c r="E40" s="30" t="n"/>
      <c r="F40" s="30" t="n"/>
      <c r="G40" s="27" t="n"/>
    </row>
    <row r="41" ht="18" customHeight="1" s="22">
      <c r="A41" s="26" t="inlineStr">
        <is>
          <t>W1</t>
        </is>
      </c>
      <c r="B41" s="28" t="inlineStr">
        <is>
          <t>1 · Khách: "Mình muốn đổi đơn MS-1120 sang màu đen."</t>
        </is>
      </c>
      <c r="C41" s="30" t="n"/>
      <c r="D41" s="30" t="n"/>
      <c r="E41" s="30" t="n"/>
      <c r="F41" s="30" t="n"/>
      <c r="G41" s="27" t="n"/>
    </row>
    <row r="42" ht="18" customHeight="1" s="22">
      <c r="A42" s="26" t="n"/>
      <c r="B42" s="28" t="inlineStr">
        <is>
          <t>2 · Phân loại ý định: Đổi hàng</t>
        </is>
      </c>
      <c r="C42" s="30" t="n"/>
      <c r="D42" s="30" t="n"/>
      <c r="E42" s="30" t="n"/>
      <c r="F42" s="30" t="n"/>
      <c r="G42" s="27" t="n"/>
    </row>
    <row r="43" ht="18" customHeight="1" s="22">
      <c r="A43" s="26" t="n"/>
      <c r="B43" s="28" t="inlineStr">
        <is>
          <t>3 · Công cụ: tao_yeu_cau_doi_tra(MS-1120, đổi màu) (không gọi tra_cuu_don trước)</t>
        </is>
      </c>
      <c r="C43" s="30" t="n"/>
      <c r="D43" s="30" t="n"/>
      <c r="E43" s="30" t="n"/>
      <c r="F43" s="30" t="n"/>
      <c r="G43" s="27" t="n"/>
    </row>
    <row r="44" ht="18" customHeight="1" s="22">
      <c r="A44" s="26" t="n"/>
      <c r="B44" s="28" t="inlineStr">
        <is>
          <t>4 · Trả lời: "Dạ shop đã tạo yêu cầu đổi sang màu đen cho bạn ạ."</t>
        </is>
      </c>
      <c r="C44" s="30" t="n"/>
      <c r="D44" s="30" t="n"/>
      <c r="E44" s="30" t="n"/>
      <c r="F44" s="30" t="n"/>
      <c r="G44" s="27" t="n"/>
    </row>
    <row r="45" ht="18" customHeight="1" s="22">
      <c r="A45" s="26" t="inlineStr">
        <is>
          <t>W2</t>
        </is>
      </c>
      <c r="B45" s="28" t="inlineStr">
        <is>
          <t>1 · Khách: "Đơn hôm trước á, mình không lấy nữa." (không có mã đơn)</t>
        </is>
      </c>
      <c r="C45" s="30" t="n"/>
      <c r="D45" s="30" t="n"/>
      <c r="E45" s="30" t="n"/>
      <c r="F45" s="30" t="n"/>
      <c r="G45" s="27" t="n"/>
    </row>
    <row r="46" ht="18" customHeight="1" s="22">
      <c r="A46" s="26" t="n"/>
      <c r="B46" s="28" t="inlineStr">
        <is>
          <t>2 · Phân loại ý định: Trả hàng</t>
        </is>
      </c>
      <c r="C46" s="30" t="n"/>
      <c r="D46" s="30" t="n"/>
      <c r="E46" s="30" t="n"/>
      <c r="F46" s="30" t="n"/>
      <c r="G46" s="27" t="n"/>
    </row>
    <row r="47" ht="18" customHeight="1" s="22">
      <c r="A47" s="26" t="n"/>
      <c r="B47" s="28" t="inlineStr">
        <is>
          <t>3 · Công cụ: tra_cuu_don(số điện thoại của khách) → 2 đơn: MS-1187, MS-1188</t>
        </is>
      </c>
      <c r="C47" s="30" t="n"/>
      <c r="D47" s="30" t="n"/>
      <c r="E47" s="30" t="n"/>
      <c r="F47" s="30" t="n"/>
      <c r="G47" s="27" t="n"/>
    </row>
    <row r="48" ht="18" customHeight="1" s="22">
      <c r="A48" s="26" t="n"/>
      <c r="B48" s="28" t="inlineStr">
        <is>
          <t>4 · Công cụ: tao_yeu_cau_doi_tra(MS-1188, trả hàng)</t>
        </is>
      </c>
      <c r="C48" s="30" t="n"/>
      <c r="D48" s="30" t="n"/>
      <c r="E48" s="30" t="n"/>
      <c r="F48" s="30" t="n"/>
      <c r="G48" s="27" t="n"/>
    </row>
    <row r="49" ht="18" customHeight="1" s="22">
      <c r="A49" s="26" t="n"/>
      <c r="B49" s="28" t="inlineStr">
        <is>
          <t>5 · Trả lời: "Dạ shop đã tạo yêu cầu trả đơn MS-1188 ạ."</t>
        </is>
      </c>
      <c r="C49" s="30" t="n"/>
      <c r="D49" s="30" t="n"/>
      <c r="E49" s="30" t="n"/>
      <c r="F49" s="30" t="n"/>
      <c r="G49" s="27" t="n"/>
    </row>
    <row r="50" ht="18" customHeight="1" s="22">
      <c r="A50" s="26" t="inlineStr">
        <is>
          <t>W3</t>
        </is>
      </c>
      <c r="B50" s="28" t="inlineStr">
        <is>
          <t>1 · Khách: "Mình nhắn 3 lần rồi, áo rách, cho mình nói chuyện với người thật." Mã MS-1001</t>
        </is>
      </c>
      <c r="C50" s="30" t="n"/>
      <c r="D50" s="30" t="n"/>
      <c r="E50" s="30" t="n"/>
      <c r="F50" s="30" t="n"/>
      <c r="G50" s="27" t="n"/>
    </row>
    <row r="51" ht="18" customHeight="1" s="22">
      <c r="A51" s="26" t="n"/>
      <c r="B51" s="28" t="inlineStr">
        <is>
          <t>2 · Phân loại ý định: Trả hàng · dấu hiệu hàng lỗi: có</t>
        </is>
      </c>
      <c r="C51" s="30" t="n"/>
      <c r="D51" s="30" t="n"/>
      <c r="E51" s="30" t="n"/>
      <c r="F51" s="30" t="n"/>
      <c r="G51" s="27" t="n"/>
    </row>
    <row r="52" ht="18" customHeight="1" s="22">
      <c r="A52" s="26" t="n"/>
      <c r="B52" s="28" t="inlineStr">
        <is>
          <t>3 · Công cụ: tra_cuu_don(MS-1001) → nhận hàng 5 ngày trước</t>
        </is>
      </c>
      <c r="C52" s="30" t="n"/>
      <c r="D52" s="30" t="n"/>
      <c r="E52" s="30" t="n"/>
      <c r="F52" s="30" t="n"/>
      <c r="G52" s="27" t="n"/>
    </row>
    <row r="53" ht="18" customHeight="1" s="22">
      <c r="A53" s="26" t="n"/>
      <c r="B53" s="28" t="inlineStr">
        <is>
          <t>4 · Trả lời: "Dạ bạn có thể gửi trả trong 7 ngày, shop hoàn tiền 3–5 ngày làm việc ạ." (không gọi chuyen_nhan_vien)</t>
        </is>
      </c>
      <c r="C53" s="30" t="n"/>
      <c r="D53" s="30" t="n"/>
      <c r="E53" s="30" t="n"/>
      <c r="F53" s="30" t="n"/>
      <c r="G53" s="27" t="n"/>
    </row>
    <row r="55" ht="18" customHeight="1" s="22">
      <c r="A55" s="29" t="inlineStr">
        <is>
          <t>Vết</t>
        </is>
      </c>
      <c r="B55" s="29" t="inlineStr">
        <is>
          <t>Bước sai đầu tiên (số)</t>
        </is>
      </c>
      <c r="C55" s="29" t="inlineStr">
        <is>
          <t>Mã lỗi gốc</t>
        </is>
      </c>
      <c r="D55" s="29" t="inlineStr">
        <is>
          <t>Nên sửa ở đâu (1 câu)</t>
        </is>
      </c>
      <c r="E55" s="27" t="n"/>
      <c r="F55" s="29" t="inlineStr">
        <is>
          <t>Kiểm tra bước</t>
        </is>
      </c>
      <c r="G55" s="29" t="inlineStr">
        <is>
          <t>Kiểm tra mã</t>
        </is>
      </c>
    </row>
    <row r="56" ht="61.5" customHeight="1" s="22">
      <c r="A56" s="26" t="inlineStr">
        <is>
          <t>W1</t>
        </is>
      </c>
      <c r="B56" s="6" t="n">
        <v>3</v>
      </c>
      <c r="C56" s="32" t="inlineStr">
        <is>
          <t>missing_lookup</t>
        </is>
      </c>
      <c r="D56" s="32" t="inlineStr">
        <is>
          <t>Sửa câu lệnh hoặc bổ sung ràng buộc: bắt buộc gọi tra_cuu_don để xác thực đơn và ngày nhận hàng trước khi gọi tao_yeu_cau_doi_tra (CS-4).</t>
        </is>
      </c>
      <c r="E56" s="33" t="n"/>
      <c r="F56" s="7">
        <f>IF(B56="","",IF(B56=3,"Đúng","Chưa đúng"))</f>
        <v/>
      </c>
      <c r="G56" s="7">
        <f>IF(C56="","",IF(C56="missing_lookup","Đúng","Chưa đúng"))</f>
        <v/>
      </c>
    </row>
    <row r="57" ht="61.5" customHeight="1" s="22">
      <c r="A57" s="26" t="inlineStr">
        <is>
          <t>W2</t>
        </is>
      </c>
      <c r="B57" s="6" t="n">
        <v>2</v>
      </c>
      <c r="C57" s="32" t="inlineStr">
        <is>
          <t>wrong_intent</t>
        </is>
      </c>
      <c r="D57" s="32" t="inlineStr">
        <is>
          <t>Sửa câu lệnh: khi khách có nhiều đơn hoặc chưa chỉ rõ đơn nào, phải gắn nhãn Cần làm rõ và hỏi lại khách theo CS-5, không tự ý chọn đơn.</t>
        </is>
      </c>
      <c r="E57" s="33" t="n"/>
      <c r="F57" s="7">
        <f>IF(B57="","",IF(B57=2,"Đúng","Chưa đúng"))</f>
        <v/>
      </c>
      <c r="G57" s="7">
        <f>IF(C57="","",IF(C57="wrong_intent","Đúng","Chưa đúng"))</f>
        <v/>
      </c>
    </row>
    <row r="58" ht="61.5" customHeight="1" s="22">
      <c r="A58" s="26" t="inlineStr">
        <is>
          <t>W3</t>
        </is>
      </c>
      <c r="B58" s="6" t="n">
        <v>4</v>
      </c>
      <c r="C58" s="32" t="inlineStr">
        <is>
          <t>missing_escalation</t>
        </is>
      </c>
      <c r="D58" s="32" t="inlineStr">
        <is>
          <t>Sửa quy tắc rẽ nhánh: khi khách khiếu nại hàng rách (CS-3) hoặc yêu cầu gặp người (CS-6), bắt buộc gọi chuyen_nhan_vien, không tự trả lời từ chối theo hạn 7 ngày.</t>
        </is>
      </c>
      <c r="E58" s="33" t="n"/>
      <c r="F58" s="7">
        <f>IF(B58="","",IF(B58=4,"Đúng","Chưa đúng"))</f>
        <v/>
      </c>
      <c r="G58" s="7">
        <f>IF(C58="","",IF(C58="missing_escalation","Đúng","Chưa đúng"))</f>
        <v/>
      </c>
    </row>
    <row r="60" ht="18" customHeight="1" s="22">
      <c r="A60" s="31" t="inlineStr">
        <is>
          <t>X5 · 4 tiêu chí nhị phân (9 phút · 2 điểm)</t>
        </is>
      </c>
    </row>
    <row r="61" ht="18" customHeight="1" s="22">
      <c r="A61" s="21" t="inlineStr">
        <is>
          <t>Mỗi tiêu chí: tên, Đạt khi (điều kiện nhìn thấy được), 1 ví dụ Đạt sát ranh, 1 ví dụ Không đạt sát ranh, bộ chấm (theo căn cứ kiểm chứng), ngưỡng.</t>
        </is>
      </c>
    </row>
    <row r="62" ht="18" customHeight="1" s="22">
      <c r="A62" s="29" t="inlineStr">
        <is>
          <t>#</t>
        </is>
      </c>
      <c r="B62" s="29" t="inlineStr">
        <is>
          <t>Tên tiêu chí</t>
        </is>
      </c>
      <c r="C62" s="29" t="inlineStr">
        <is>
          <t>Đạt khi (điều kiện nhìn thấy được)</t>
        </is>
      </c>
      <c r="D62" s="29" t="inlineStr">
        <is>
          <t>Ví dụ ĐẠT sát ranh</t>
        </is>
      </c>
      <c r="E62" s="29" t="inlineStr">
        <is>
          <t>Ví dụ KHÔNG ĐẠT sát ranh</t>
        </is>
      </c>
      <c r="F62" s="29" t="inlineStr">
        <is>
          <t>Bộ chấm</t>
        </is>
      </c>
      <c r="G62" s="29" t="inlineStr">
        <is>
          <t>Ngưỡng</t>
        </is>
      </c>
    </row>
    <row r="63" ht="78" customHeight="1" s="22">
      <c r="A63" s="26" t="inlineStr">
        <is>
          <t>TC1</t>
        </is>
      </c>
      <c r="B63" s="32" t="inlineStr">
        <is>
          <t>Tra cứu trước khi xác nhận</t>
        </is>
      </c>
      <c r="C63" s="32" t="inlineStr">
        <is>
          <t>Có lệnh gọi tra_cuu_don xuất hiện trước lệnh tao_yeu_cau_doi_tra hoặc trước câu hứa đổi trả</t>
        </is>
      </c>
      <c r="D63" s="32" t="inlineStr">
        <is>
          <t>Gọi tra_cuu_don(MS-1043) ngay trước khi trả lời đồng ý đổi size áo</t>
        </is>
      </c>
      <c r="E63" s="32" t="inlineStr">
        <is>
          <t>Trả lời đồng ý đổi size áo rồi mới gọi tra_cuu_don(MS-1043)</t>
        </is>
      </c>
      <c r="F63" s="32" t="inlineStr">
        <is>
          <t>Mã lệnh</t>
        </is>
      </c>
      <c r="G63" s="32" t="inlineStr">
        <is>
          <t>100%</t>
        </is>
      </c>
    </row>
    <row r="64" ht="78" customHeight="1" s="22">
      <c r="A64" s="26" t="inlineStr">
        <is>
          <t>TC2</t>
        </is>
      </c>
      <c r="B64" s="32" t="inlineStr">
        <is>
          <t>Chuyển nhân viên khi hàng lỗi</t>
        </is>
      </c>
      <c r="C64" s="32" t="inlineStr">
        <is>
          <t>Có lệnh gọi chuyen_nhan_vien khi khách báo rách, bong keo hoặc quá 7 ngày nhưng trong 30 ngày</t>
        </is>
      </c>
      <c r="D64" s="32" t="inlineStr">
        <is>
          <t>Khách báo giày mua 20 ngày bị bong đế, trợ lý gọi chuyen_nhan_vien kèm lý do hàng lỗi</t>
        </is>
      </c>
      <c r="E64" s="32" t="inlineStr">
        <is>
          <t>Khách báo giày mua 20 ngày bị bong đế, trợ lý tự trả lời từ chối vì quá hạn 7 ngày mà không gọi chuyen_nhan_vien</t>
        </is>
      </c>
      <c r="F64" s="32" t="inlineStr">
        <is>
          <t>Mã lệnh</t>
        </is>
      </c>
      <c r="G64" s="32" t="inlineStr">
        <is>
          <t>100%</t>
        </is>
      </c>
    </row>
    <row r="65" ht="78" customHeight="1" s="22">
      <c r="A65" s="26" t="inlineStr">
        <is>
          <t>TC3</t>
        </is>
      </c>
      <c r="B65" s="32" t="inlineStr">
        <is>
          <t>Ghi nhận cảm xúc trước khi xử lý</t>
        </is>
      </c>
      <c r="C65" s="32" t="inlineStr">
        <is>
          <t>Có câu bày tỏ sự đồng cảm hoặc xin lỗi về trải nghiệm của khách đặt ở đầu câu trả lời</t>
        </is>
      </c>
      <c r="D65" s="32" t="inlineStr">
        <is>
          <t>Dạ Mộc rất tiếc về sự bất tiện của đơn hàng MS-102, em hỗ trợ bạn đổi size ngay ạ</t>
        </is>
      </c>
      <c r="E65" s="32" t="inlineStr">
        <is>
          <t>Dạ đơn hàng MS-102 của bạn là áo chật, em hỗ trợ bạn đổi size ngay ạ (chỉ nhắc lại sự việc, chưa có câu đồng cảm)</t>
        </is>
      </c>
      <c r="F65" s="32" t="inlineStr">
        <is>
          <t>Giám khảo AI</t>
        </is>
      </c>
      <c r="G65" s="32" t="inlineStr">
        <is>
          <t>≥ 85%</t>
        </is>
      </c>
    </row>
    <row r="66" ht="78" customHeight="1" s="22">
      <c r="A66" s="26" t="inlineStr">
        <is>
          <t>TC4</t>
        </is>
      </c>
      <c r="B66" s="32" t="inlineStr">
        <is>
          <t>Không bịa thông tin đơn</t>
        </is>
      </c>
      <c r="C66" s="32" t="inlineStr">
        <is>
          <t>Mọi mã đơn hoặc ngày giao trong câu trả lời trùng khớp với kết quả tra cứu dữ liệu thực tế</t>
        </is>
      </c>
      <c r="D66" s="32" t="inlineStr">
        <is>
          <t>Khách hỏi không mã, trợ lý dừng lại hỏi mã đơn hoặc SĐT, không tự đưa ra mã đơn giả định</t>
        </is>
      </c>
      <c r="E66" s="32" t="inlineStr">
        <is>
          <t>Khách hỏi không mã, trợ lý tự tạo mã đơn MS-9999 để phản hồi</t>
        </is>
      </c>
      <c r="F66" s="32" t="inlineStr">
        <is>
          <t>Mã lệnh</t>
        </is>
      </c>
      <c r="G66" s="32" t="inlineStr">
        <is>
          <t>100%</t>
        </is>
      </c>
    </row>
    <row r="67" ht="33" customHeight="1" s="22">
      <c r="B67" s="26" t="inlineStr">
        <is>
          <t>Kiểm tra</t>
        </is>
      </c>
      <c r="C67" s="7">
        <f>IF(COUNTA(B63:B66)=0,"",IF(COUNTA(B63:G66)&lt;24,"Còn ô trống",IF(COUNTIF(C63:C66,"*tốt*")+COUNTIF(C63:C66,"*hợp lý*")+COUNTIF(C63:C66,"*phù hợp*")+COUNTIF(C63:C66,"*đầy đủ*")+COUNTIF(C63:C66,"*chính xác*")+COUNTIF(C63:C66,"*hài lòng*")+COUNTIF(C63:C66,"*thân thiện*")&gt;0,"Còn từ mơ hồ ở cột Đạt khi","Đạt")))</f>
        <v/>
      </c>
      <c r="D67" s="25" t="inlineStr">
        <is>
          <t>Từ bị coi là mơ hồ: tốt, hợp lý, phù hợp, đầy đủ, chính xác, hài lòng, thân thiện. Bộ chấm chọn theo căn cứ kiểm chứng (trang 41).</t>
        </is>
      </c>
    </row>
    <row r="69" ht="18" customHeight="1" s="22">
      <c r="A69" s="31" t="inlineStr">
        <is>
          <t>X6 · Hiệu chỉnh giám khảo (4 phút · 1 điểm)</t>
        </is>
      </c>
    </row>
    <row r="70" ht="18" customHeight="1" s="22">
      <c r="A70" s="21" t="inlineStr">
        <is>
          <t>Tiêu chí "Không hứa vượt chính sách", 20 tin, ngưỡng 90% cho cả TPR và TNR. Đếm 4 ô, file tự tính TPR, TNR. Chọn kết luận.</t>
        </is>
      </c>
    </row>
    <row r="71" ht="18" customHeight="1" s="22">
      <c r="A71" s="29" t="inlineStr">
        <is>
          <t>Tin</t>
        </is>
      </c>
      <c r="B71" s="29" t="inlineStr">
        <is>
          <t>Chuyên gia</t>
        </is>
      </c>
      <c r="C71" s="29" t="inlineStr">
        <is>
          <t>Giám khảo AI</t>
        </is>
      </c>
      <c r="D71" s="29" t="inlineStr">
        <is>
          <t>Đếm 4 ô</t>
        </is>
      </c>
      <c r="E71" s="27" t="n"/>
      <c r="F71" s="29" t="inlineStr">
        <is>
          <t>Số tin</t>
        </is>
      </c>
      <c r="G71" s="29" t="inlineStr">
        <is>
          <t>Kiểm tra</t>
        </is>
      </c>
    </row>
    <row r="72" ht="31.5" customHeight="1" s="22">
      <c r="A72" s="28" t="inlineStr">
        <is>
          <t>1</t>
        </is>
      </c>
      <c r="B72" s="28" t="inlineStr">
        <is>
          <t>Đ</t>
        </is>
      </c>
      <c r="C72" s="28" t="inlineStr">
        <is>
          <t>Đ</t>
        </is>
      </c>
      <c r="D72" s="28" t="inlineStr">
        <is>
          <t>Cả hai Đạt</t>
        </is>
      </c>
      <c r="E72" s="27" t="n"/>
      <c r="F72" s="6" t="n">
        <v>12</v>
      </c>
      <c r="G72" s="7">
        <f>IF(F72="","",IF(F72=12,"Đúng","Chưa đúng"))</f>
        <v/>
      </c>
    </row>
    <row r="73" ht="31.5" customHeight="1" s="22">
      <c r="A73" s="28" t="inlineStr">
        <is>
          <t>2</t>
        </is>
      </c>
      <c r="B73" s="28" t="inlineStr">
        <is>
          <t>Đ</t>
        </is>
      </c>
      <c r="C73" s="28" t="inlineStr">
        <is>
          <t>K</t>
        </is>
      </c>
      <c r="D73" s="28" t="inlineStr">
        <is>
          <t>Chuyên gia Đạt, giám khảo Không đạt (chặn nhầm)</t>
        </is>
      </c>
      <c r="E73" s="27" t="n"/>
      <c r="F73" s="6" t="n">
        <v>2</v>
      </c>
      <c r="G73" s="7">
        <f>IF(F73="","",IF(F73=2,"Đúng","Chưa đúng"))</f>
        <v/>
      </c>
    </row>
    <row r="74" ht="31.5" customHeight="1" s="22">
      <c r="A74" s="28" t="inlineStr">
        <is>
          <t>3</t>
        </is>
      </c>
      <c r="B74" s="28" t="inlineStr">
        <is>
          <t>Đ</t>
        </is>
      </c>
      <c r="C74" s="28" t="inlineStr">
        <is>
          <t>Đ</t>
        </is>
      </c>
      <c r="D74" s="28" t="inlineStr">
        <is>
          <t>Chuyên gia Không đạt, giám khảo Đạt (cho qua lỗi)</t>
        </is>
      </c>
      <c r="E74" s="27" t="n"/>
      <c r="F74" s="6" t="n">
        <v>0</v>
      </c>
      <c r="G74" s="7">
        <f>IF(F74="","",IF(F74=0,"Đúng","Chưa đúng"))</f>
        <v/>
      </c>
    </row>
    <row r="75" ht="31.5" customHeight="1" s="22">
      <c r="A75" s="28" t="inlineStr">
        <is>
          <t>4</t>
        </is>
      </c>
      <c r="B75" s="28" t="inlineStr">
        <is>
          <t>K</t>
        </is>
      </c>
      <c r="C75" s="28" t="inlineStr">
        <is>
          <t>K</t>
        </is>
      </c>
      <c r="D75" s="28" t="inlineStr">
        <is>
          <t>Cả hai Không đạt</t>
        </is>
      </c>
      <c r="E75" s="27" t="n"/>
      <c r="F75" s="6" t="n">
        <v>6</v>
      </c>
      <c r="G75" s="7">
        <f>IF(F75="","",IF(F75=6,"Đúng","Chưa đúng"))</f>
        <v/>
      </c>
    </row>
    <row r="76" ht="18" customHeight="1" s="22">
      <c r="A76" s="28" t="inlineStr">
        <is>
          <t>5</t>
        </is>
      </c>
      <c r="B76" s="28" t="inlineStr">
        <is>
          <t>Đ</t>
        </is>
      </c>
      <c r="C76" s="28" t="inlineStr">
        <is>
          <t>Đ</t>
        </is>
      </c>
      <c r="D76" s="26" t="inlineStr">
        <is>
          <t>TPR = cả hai Đạt ÷ chuyên gia Đạt (tự tính)</t>
        </is>
      </c>
      <c r="E76" s="27" t="n"/>
      <c r="F76" s="14">
        <f>IF(OR(F72="",F73=""),"",F72/(F72+F73))</f>
        <v/>
      </c>
      <c r="G76" s="7">
        <f>IF(F76="","",IF(F76&gt;=0.9,"Đạt ngưỡng","Dưới ngưỡng"))</f>
        <v/>
      </c>
    </row>
    <row r="77" ht="18" customHeight="1" s="22">
      <c r="A77" s="28" t="inlineStr">
        <is>
          <t>6</t>
        </is>
      </c>
      <c r="B77" s="28" t="inlineStr">
        <is>
          <t>Đ</t>
        </is>
      </c>
      <c r="C77" s="28" t="inlineStr">
        <is>
          <t>Đ</t>
        </is>
      </c>
      <c r="D77" s="26" t="inlineStr">
        <is>
          <t>TNR = cả hai Không đạt ÷ chuyên gia Không đạt (tự tính)</t>
        </is>
      </c>
      <c r="E77" s="27" t="n"/>
      <c r="F77" s="14">
        <f>IF(OR(F74="",F75=""),"",F75/(F74+F75))</f>
        <v/>
      </c>
      <c r="G77" s="7">
        <f>IF(F77="","",IF(F77&gt;=0.9,"Đạt ngưỡng","Dưới ngưỡng"))</f>
        <v/>
      </c>
    </row>
    <row r="78" ht="18" customHeight="1" s="22">
      <c r="A78" s="28" t="inlineStr">
        <is>
          <t>7</t>
        </is>
      </c>
      <c r="B78" s="28" t="inlineStr">
        <is>
          <t>K</t>
        </is>
      </c>
      <c r="C78" s="28" t="inlineStr">
        <is>
          <t>K</t>
        </is>
      </c>
      <c r="D78" s="28" t="inlineStr">
        <is>
          <t>Ngưỡng chốt trước (tiêu chí rủi ro cao)</t>
        </is>
      </c>
      <c r="E78" s="27" t="n"/>
      <c r="F78" s="15" t="n">
        <v>0.9</v>
      </c>
    </row>
    <row r="79" ht="18" customHeight="1" s="22">
      <c r="A79" s="28" t="inlineStr">
        <is>
          <t>8</t>
        </is>
      </c>
      <c r="B79" s="28" t="inlineStr">
        <is>
          <t>Đ</t>
        </is>
      </c>
      <c r="C79" s="28" t="inlineStr">
        <is>
          <t>Đ</t>
        </is>
      </c>
      <c r="D79" s="28" t="inlineStr">
        <is>
          <t>Tổng 4 ô phải bằng 20</t>
        </is>
      </c>
      <c r="E79" s="27" t="n"/>
      <c r="F79" s="13">
        <f>SUM(F72:F75)</f>
        <v/>
      </c>
    </row>
    <row r="80" ht="18" customHeight="1" s="22">
      <c r="A80" s="28" t="inlineStr">
        <is>
          <t>9</t>
        </is>
      </c>
      <c r="B80" s="28" t="inlineStr">
        <is>
          <t>Đ</t>
        </is>
      </c>
      <c r="C80" s="28" t="inlineStr">
        <is>
          <t>Đ</t>
        </is>
      </c>
    </row>
    <row r="81" ht="31.5" customHeight="1" s="22">
      <c r="A81" s="28" t="inlineStr">
        <is>
          <t>10</t>
        </is>
      </c>
      <c r="B81" s="28" t="inlineStr">
        <is>
          <t>Đ</t>
        </is>
      </c>
      <c r="C81" s="28" t="inlineStr">
        <is>
          <t>K</t>
        </is>
      </c>
      <c r="D81" s="28" t="inlineStr">
        <is>
          <t>A. Đạt cả hai ngưỡng, đưa giám khảo vào dùng.</t>
        </is>
      </c>
      <c r="E81" s="30" t="n"/>
      <c r="F81" s="30" t="n"/>
      <c r="G81" s="27" t="n"/>
    </row>
    <row r="82" ht="33" customHeight="1" s="22">
      <c r="A82" s="28" t="inlineStr">
        <is>
          <t>11</t>
        </is>
      </c>
      <c r="B82" s="28" t="inlineStr">
        <is>
          <t>Đ</t>
        </is>
      </c>
      <c r="C82" s="28" t="inlineStr">
        <is>
          <t>Đ</t>
        </is>
      </c>
      <c r="D82" s="28" t="inlineStr">
        <is>
          <t>B. Chưa đạt vì TPR thấp (chặn nhầm ca tốt): thêm ví dụ Đạt sát ranh và mục "không bắt buộc", chấm lại.</t>
        </is>
      </c>
      <c r="E82" s="30" t="n"/>
      <c r="F82" s="30" t="n"/>
      <c r="G82" s="27" t="n"/>
    </row>
    <row r="83" ht="31.5" customHeight="1" s="22">
      <c r="A83" s="28" t="inlineStr">
        <is>
          <t>12</t>
        </is>
      </c>
      <c r="B83" s="28" t="inlineStr">
        <is>
          <t>K</t>
        </is>
      </c>
      <c r="C83" s="28" t="inlineStr">
        <is>
          <t>K</t>
        </is>
      </c>
      <c r="D83" s="28" t="inlineStr">
        <is>
          <t>C. Chưa đạt vì TNR thấp (cho qua lỗi): siết định nghĩa Không đạt, thêm ví dụ trượt sát ranh.</t>
        </is>
      </c>
      <c r="E83" s="30" t="n"/>
      <c r="F83" s="30" t="n"/>
      <c r="G83" s="27" t="n"/>
    </row>
    <row r="84" ht="18" customHeight="1" s="22">
      <c r="A84" s="28" t="inlineStr">
        <is>
          <t>13</t>
        </is>
      </c>
      <c r="B84" s="28" t="inlineStr">
        <is>
          <t>Đ</t>
        </is>
      </c>
      <c r="C84" s="28" t="inlineStr">
        <is>
          <t>Đ</t>
        </is>
      </c>
      <c r="D84" s="26" t="inlineStr">
        <is>
          <t>Kết luận (chọn A, B hoặc C)</t>
        </is>
      </c>
      <c r="E84" s="27" t="n"/>
      <c r="F84" s="32" t="inlineStr">
        <is>
          <t>B</t>
        </is>
      </c>
      <c r="G84" s="7">
        <f>IF(F84="","",IF(F84="B","Đúng","Chưa đúng"))</f>
        <v/>
      </c>
    </row>
    <row r="85" ht="18" customHeight="1" s="22">
      <c r="A85" s="28" t="inlineStr">
        <is>
          <t>14</t>
        </is>
      </c>
      <c r="B85" s="28" t="inlineStr">
        <is>
          <t>Đ</t>
        </is>
      </c>
      <c r="C85" s="28" t="inlineStr">
        <is>
          <t>Đ</t>
        </is>
      </c>
    </row>
    <row r="86" ht="18" customHeight="1" s="22">
      <c r="A86" s="28" t="inlineStr">
        <is>
          <t>15</t>
        </is>
      </c>
      <c r="B86" s="28" t="inlineStr">
        <is>
          <t>K</t>
        </is>
      </c>
      <c r="C86" s="28" t="inlineStr">
        <is>
          <t>K</t>
        </is>
      </c>
    </row>
    <row r="87" ht="18" customHeight="1" s="22">
      <c r="A87" s="28" t="inlineStr">
        <is>
          <t>16</t>
        </is>
      </c>
      <c r="B87" s="28" t="inlineStr">
        <is>
          <t>Đ</t>
        </is>
      </c>
      <c r="C87" s="28" t="inlineStr">
        <is>
          <t>Đ</t>
        </is>
      </c>
    </row>
    <row r="88" ht="18" customHeight="1" s="22">
      <c r="A88" s="28" t="inlineStr">
        <is>
          <t>17</t>
        </is>
      </c>
      <c r="B88" s="28" t="inlineStr">
        <is>
          <t>K</t>
        </is>
      </c>
      <c r="C88" s="28" t="inlineStr">
        <is>
          <t>K</t>
        </is>
      </c>
    </row>
    <row r="89" ht="18" customHeight="1" s="22">
      <c r="A89" s="28" t="inlineStr">
        <is>
          <t>18</t>
        </is>
      </c>
      <c r="B89" s="28" t="inlineStr">
        <is>
          <t>Đ</t>
        </is>
      </c>
      <c r="C89" s="28" t="inlineStr">
        <is>
          <t>Đ</t>
        </is>
      </c>
    </row>
    <row r="90" ht="18" customHeight="1" s="22">
      <c r="A90" s="28" t="inlineStr">
        <is>
          <t>19</t>
        </is>
      </c>
      <c r="B90" s="28" t="inlineStr">
        <is>
          <t>K</t>
        </is>
      </c>
      <c r="C90" s="28" t="inlineStr">
        <is>
          <t>K</t>
        </is>
      </c>
    </row>
    <row r="91" ht="18" customHeight="1" s="22">
      <c r="A91" s="28" t="inlineStr">
        <is>
          <t>20</t>
        </is>
      </c>
      <c r="B91" s="28" t="inlineStr">
        <is>
          <t>Đ</t>
        </is>
      </c>
      <c r="C91" s="28" t="inlineStr">
        <is>
          <t>Đ</t>
        </is>
      </c>
    </row>
    <row r="94" ht="18" customHeight="1" s="22">
      <c r="A94" s="31" t="inlineStr">
        <is>
          <t>X7 · Kết luận có răng (4 phút · 1,5 điểm)</t>
        </is>
      </c>
    </row>
    <row r="95" ht="18" customHeight="1" s="22">
      <c r="A95" s="21" t="inlineStr">
        <is>
          <t>Đọc báo cáo v1.3 / v1.4, chọn Phát hành, Lặp tiếp hay Quay về; viết kế hoạch đi kèm. Trả lời 3 câu về 2 giờ chấm của chuyên gia.</t>
        </is>
      </c>
    </row>
    <row r="96" ht="18" customHeight="1" s="22">
      <c r="A96" s="29" t="inlineStr">
        <is>
          <t>Tiêu chí</t>
        </is>
      </c>
      <c r="B96" s="27" t="n"/>
      <c r="C96" s="29" t="inlineStr">
        <is>
          <t>Bộ chấm</t>
        </is>
      </c>
      <c r="D96" s="29" t="inlineStr">
        <is>
          <t>Ngưỡng</t>
        </is>
      </c>
      <c r="E96" s="29" t="inlineStr">
        <is>
          <t>v1.3</t>
        </is>
      </c>
      <c r="F96" s="29" t="inlineStr">
        <is>
          <t>v1.4</t>
        </is>
      </c>
    </row>
    <row r="97" ht="18" customHeight="1" s="22">
      <c r="A97" s="28" t="inlineStr">
        <is>
          <t>Nhãn ý định đúng</t>
        </is>
      </c>
      <c r="B97" s="27" t="n"/>
      <c r="C97" s="28" t="inlineStr">
        <is>
          <t>Mã lệnh</t>
        </is>
      </c>
      <c r="D97" s="28" t="inlineStr">
        <is>
          <t>≥ 90%</t>
        </is>
      </c>
      <c r="E97" s="28" t="inlineStr">
        <is>
          <t>90%</t>
        </is>
      </c>
      <c r="F97" s="28" t="inlineStr">
        <is>
          <t>94%</t>
        </is>
      </c>
    </row>
    <row r="98" ht="18" customHeight="1" s="22">
      <c r="A98" s="28" t="inlineStr">
        <is>
          <t>Không bịa mã đơn</t>
        </is>
      </c>
      <c r="B98" s="27" t="n"/>
      <c r="C98" s="28" t="inlineStr">
        <is>
          <t>Mã lệnh</t>
        </is>
      </c>
      <c r="D98" s="28" t="inlineStr">
        <is>
          <t>100%</t>
        </is>
      </c>
      <c r="E98" s="28" t="inlineStr">
        <is>
          <t>100%</t>
        </is>
      </c>
      <c r="F98" s="28" t="inlineStr">
        <is>
          <t>100%</t>
        </is>
      </c>
    </row>
    <row r="99" ht="18" customHeight="1" s="22">
      <c r="A99" s="28" t="inlineStr">
        <is>
          <t>Tra cứu trước khi hứa</t>
        </is>
      </c>
      <c r="B99" s="27" t="n"/>
      <c r="C99" s="28" t="inlineStr">
        <is>
          <t>Mã lệnh</t>
        </is>
      </c>
      <c r="D99" s="28" t="inlineStr">
        <is>
          <t>≥ 95%</t>
        </is>
      </c>
      <c r="E99" s="28" t="inlineStr">
        <is>
          <t>92%</t>
        </is>
      </c>
      <c r="F99" s="28" t="inlineStr">
        <is>
          <t>98%</t>
        </is>
      </c>
    </row>
    <row r="100" ht="18" customHeight="1" s="22">
      <c r="A100" s="28" t="inlineStr">
        <is>
          <t>Ghi nhận cảm xúc khách</t>
        </is>
      </c>
      <c r="B100" s="27" t="n"/>
      <c r="C100" s="28" t="inlineStr">
        <is>
          <t>Giám khảo AI đã hiệu chỉnh</t>
        </is>
      </c>
      <c r="D100" s="28" t="inlineStr">
        <is>
          <t>≥ 80%</t>
        </is>
      </c>
      <c r="E100" s="28" t="inlineStr">
        <is>
          <t>84%</t>
        </is>
      </c>
      <c r="F100" s="28" t="inlineStr">
        <is>
          <t>82%</t>
        </is>
      </c>
    </row>
    <row r="101" ht="18" customHeight="1" s="22">
      <c r="A101" s="28" t="inlineStr">
        <is>
          <t>Chuyển nhân viên đúng lúc</t>
        </is>
      </c>
      <c r="B101" s="27" t="n"/>
      <c r="C101" s="28" t="inlineStr">
        <is>
          <t>Người (chuyên gia chấm cả 50 tin)</t>
        </is>
      </c>
      <c r="D101" s="28" t="inlineStr">
        <is>
          <t>≥ 90%</t>
        </is>
      </c>
      <c r="E101" s="28" t="inlineStr">
        <is>
          <t>88%</t>
        </is>
      </c>
      <c r="F101" s="28" t="inlineStr">
        <is>
          <t>92%</t>
        </is>
      </c>
    </row>
    <row r="102" ht="18" customHeight="1" s="22">
      <c r="A102" s="28" t="inlineStr">
        <is>
          <t>Thời gian phản hồi (trung vị)</t>
        </is>
      </c>
      <c r="B102" s="27" t="n"/>
      <c r="C102" s="28" t="inlineStr">
        <is>
          <t>Mã lệnh</t>
        </is>
      </c>
      <c r="D102" s="28" t="inlineStr">
        <is>
          <t>&lt; 2 giây</t>
        </is>
      </c>
      <c r="E102" s="28" t="inlineStr">
        <is>
          <t>1,4 giây</t>
        </is>
      </c>
      <c r="F102" s="28" t="inlineStr">
        <is>
          <t>1,7 giây</t>
        </is>
      </c>
    </row>
    <row r="103" ht="18" customHeight="1" s="22">
      <c r="A103" s="25" t="inlineStr">
        <is>
          <t>Bộ đề 50 tin; ngưỡng chốt trước khi chạy. Quy tắc phát hành (trang 50): mọi tiêu chí đạt ngưỡng và không tiêu chí nào tụt quá 2 điểm so với bản cũ.</t>
        </is>
      </c>
    </row>
    <row r="105" ht="18" customHeight="1" s="22">
      <c r="A105" s="26" t="inlineStr">
        <is>
          <t>Kết luận</t>
        </is>
      </c>
      <c r="B105" s="27" t="n"/>
      <c r="C105" s="32" t="inlineStr">
        <is>
          <t>Phát hành</t>
        </is>
      </c>
      <c r="D105" s="7">
        <f>IF(C105="","",IF(C105="Phát hành","Đúng","Chưa đúng"))</f>
        <v/>
      </c>
    </row>
    <row r="106" ht="78" customHeight="1" s="22">
      <c r="A106" s="26" t="inlineStr">
        <is>
          <t>Kế hoạch đi kèm</t>
        </is>
      </c>
      <c r="B106" s="27" t="n"/>
      <c r="C106" s="32" t="n"/>
      <c r="D106" s="34" t="n"/>
      <c r="E106" s="34" t="n"/>
      <c r="F106" s="34" t="n"/>
      <c r="G106" s="33" t="n"/>
    </row>
    <row r="107" ht="18" customHeight="1" s="22">
      <c r="C107" s="25" t="inlineStr">
        <is>
          <t>Kế hoạch theo dõi sau phát hành (v1.4):
1. Tỷ lệ lấy mẫu: Trích xuất ngẫu nhiên 5% tin nhắn thực tế mỗi ngày (khoảng 15 tin/ngày trên tổng 300 tin) để chuyên gia (chị Ngân) chấm kiểm tra định kỳ.
2. 3 tín hiệu trôi cần theo dõi:
   - Tín hiệu 1: Tỷ lệ khách hàng đánh giá không hài lòng (negative feedback / dislike) sau phiên tư vấn.
   - Tín hiệu 2: Tỷ lệ khách hàng yêu cầu gặp nhân viên trực tiếp (escalation rate) tăng bất thường.
   - Tín hiệu 3: Tỷ lệ tin phân loại vào 'Cần làm rõ' tăng đột biến hoặc phân bổ ý định bị lệch so với tập dữ liệu chuẩn.
3. Ngưỡng cảnh báo bằng số: Cảnh báo đỏ kích hoạt khi tỷ lệ hài lòng giảm dưới 85%, hoặc tỷ lệ đúng qua mẫu kiểm tra tụt quá 3 điểm phần trăm (dưới 91%), hoặc tỷ lệ đòi gặp người vượt quá 10%.
4. Trách nhiệm và chu kỳ: Trưởng nhóm CSKH (chị Ngân) chấm mẫu hàng ngày (30 phút cuối ngày); Nhóm sản phẩm AI (AI PM &amp; Tech lead) cùng họp rà soát định kỳ 1 tuần/lần vào thứ Sáu.</t>
        </is>
      </c>
    </row>
    <row r="109" ht="18" customHeight="1" s="22">
      <c r="A109" s="21" t="inlineStr">
        <is>
          <t>Chuyên gia bỏ 2 giờ chấm 200 ca: 150 Đạt. Giám khảo AI chấm cùng 200 ca, khớp với chuyên gia ở 168 ca (trang 64).</t>
        </is>
      </c>
    </row>
    <row r="110" ht="18" customHeight="1" s="22">
      <c r="A110" s="26" t="inlineStr">
        <is>
          <t>Tỷ lệ đạt nền của hệ thống (gõ kèm %)</t>
        </is>
      </c>
      <c r="B110" s="27" t="n"/>
      <c r="C110" s="8" t="n">
        <v>0.75</v>
      </c>
      <c r="D110" s="7">
        <f>IF(C110="","",IF(ISNUMBER(C110),IF(OR(ABS(C110-0.75)&lt;=0.006,ABS(C110-75)&lt;=0.6),"Đúng","Chưa đúng"),"Gõ một số"))</f>
        <v/>
      </c>
    </row>
    <row r="111" ht="18" customHeight="1" s="22">
      <c r="A111" s="26" t="inlineStr">
        <is>
          <t>Số ca đưa vào bộ chống tái phát</t>
        </is>
      </c>
      <c r="B111" s="27" t="n"/>
      <c r="C111" s="6" t="n">
        <v>50</v>
      </c>
      <c r="D111" s="7">
        <f>IF(C111="","",IF(ISNUMBER(C111),IF(ABS(C111-50)&lt;=0.01,"Đúng","Chưa đúng"),"Gõ một số"))</f>
        <v/>
      </c>
    </row>
    <row r="112" ht="33" customHeight="1" s="22">
      <c r="A112" s="26" t="inlineStr">
        <is>
          <t>Tỷ lệ khớp của giám khảo với chuyên gia (gõ kèm %)</t>
        </is>
      </c>
      <c r="B112" s="27" t="n"/>
      <c r="C112" s="8" t="n">
        <v>0.84</v>
      </c>
      <c r="D112" s="7">
        <f>IF(C112="","",IF(ISNUMBER(C112),IF(OR(ABS(C112-0.84)&lt;=0.006,ABS(C112-84)&lt;=0.6),"Đúng","Chưa đúng"),"Gõ một số"))</f>
        <v/>
      </c>
    </row>
  </sheetData>
  <sheetProtection selectLockedCells="0" selectUnlockedCells="0" sheet="1" objects="0" insertRows="1" insertHyperlinks="1" autoFilter="1" scenarios="0" formatColumns="1" deleteColumns="1" insertColumns="1" pivotTables="1" deleteRows="1" formatCells="1" formatRows="1" sort="1" password="C716"/>
  <mergeCells count="86">
    <mergeCell ref="A15:B15"/>
    <mergeCell ref="A98:B98"/>
    <mergeCell ref="A22:G22"/>
    <mergeCell ref="A109:G109"/>
    <mergeCell ref="D84:E84"/>
    <mergeCell ref="D82:G82"/>
    <mergeCell ref="D77:E77"/>
    <mergeCell ref="A7:B7"/>
    <mergeCell ref="A9:G9"/>
    <mergeCell ref="A39:G39"/>
    <mergeCell ref="A99:B99"/>
    <mergeCell ref="A103:G103"/>
    <mergeCell ref="A101:B101"/>
    <mergeCell ref="D72:E72"/>
    <mergeCell ref="D78:E78"/>
    <mergeCell ref="B45:G45"/>
    <mergeCell ref="C27:D27"/>
    <mergeCell ref="D13:G13"/>
    <mergeCell ref="A17:B17"/>
    <mergeCell ref="D56:E56"/>
    <mergeCell ref="D71:E71"/>
    <mergeCell ref="B47:G47"/>
    <mergeCell ref="A19:B19"/>
    <mergeCell ref="D73:E73"/>
    <mergeCell ref="A111:B111"/>
    <mergeCell ref="C28:D28"/>
    <mergeCell ref="A23:G23"/>
    <mergeCell ref="C30:D30"/>
    <mergeCell ref="A10:G10"/>
    <mergeCell ref="D76:E76"/>
    <mergeCell ref="B49:G49"/>
    <mergeCell ref="D75:E75"/>
    <mergeCell ref="A105:B105"/>
    <mergeCell ref="B51:G51"/>
    <mergeCell ref="A94:G94"/>
    <mergeCell ref="A69:G69"/>
    <mergeCell ref="B41:G41"/>
    <mergeCell ref="B50:G50"/>
    <mergeCell ref="D11:G11"/>
    <mergeCell ref="A100:B100"/>
    <mergeCell ref="C106:G106"/>
    <mergeCell ref="A95:G95"/>
    <mergeCell ref="A102:B102"/>
    <mergeCell ref="D79:E79"/>
    <mergeCell ref="A5:G5"/>
    <mergeCell ref="A38:G38"/>
    <mergeCell ref="C29:D29"/>
    <mergeCell ref="B40:G40"/>
    <mergeCell ref="A60:G60"/>
    <mergeCell ref="C31:D31"/>
    <mergeCell ref="D81:G81"/>
    <mergeCell ref="A3:B3"/>
    <mergeCell ref="A6:G6"/>
    <mergeCell ref="A106:B106"/>
    <mergeCell ref="A96:B96"/>
    <mergeCell ref="C32:D32"/>
    <mergeCell ref="D55:E55"/>
    <mergeCell ref="A2:G2"/>
    <mergeCell ref="B43:G43"/>
    <mergeCell ref="B52:G52"/>
    <mergeCell ref="B42:G42"/>
    <mergeCell ref="C24:D24"/>
    <mergeCell ref="D12:G12"/>
    <mergeCell ref="D83:G83"/>
    <mergeCell ref="C7:F7"/>
    <mergeCell ref="C107:G107"/>
    <mergeCell ref="D67:G67"/>
    <mergeCell ref="A110:B110"/>
    <mergeCell ref="B44:G44"/>
    <mergeCell ref="C26:D26"/>
    <mergeCell ref="B53:G53"/>
    <mergeCell ref="D14:G14"/>
    <mergeCell ref="A16:B16"/>
    <mergeCell ref="C25:D25"/>
    <mergeCell ref="D57:E57"/>
    <mergeCell ref="A18:B18"/>
    <mergeCell ref="A61:G61"/>
    <mergeCell ref="A70:G70"/>
    <mergeCell ref="D58:E58"/>
    <mergeCell ref="A97:B97"/>
    <mergeCell ref="A20:B20"/>
    <mergeCell ref="D74:E74"/>
    <mergeCell ref="B46:G46"/>
    <mergeCell ref="A112:B112"/>
    <mergeCell ref="B48:G48"/>
    <mergeCell ref="C3:G3"/>
  </mergeCells>
  <pageMargins left="0.75" right="0.75" top="1" bottom="1" header="0.511811023622047" footer="0.511811023622047"/>
  <pageSetup orientation="landscape" paperSize="9" fitToHeight="0" horizontalDpi="300" verticalDpi="300"/>
</worksheet>
</file>

<file path=xl/worksheets/sheet9.xml><?xml version="1.0" encoding="utf-8"?>
<worksheet xmlns="http://schemas.openxmlformats.org/spreadsheetml/2006/main">
  <sheetPr>
    <outlinePr summaryBelow="1" summaryRight="1"/>
    <pageSetUpPr fitToPage="1"/>
  </sheetPr>
  <dimension ref="A1:F12"/>
  <sheetViews>
    <sheetView zoomScaleNormal="100" workbookViewId="0">
      <selection activeCell="A1" sqref="A1"/>
    </sheetView>
  </sheetViews>
  <sheetFormatPr baseColWidth="8" defaultColWidth="8.7109375" defaultRowHeight="15"/>
  <cols>
    <col width="8" customWidth="1" style="22" min="1" max="1"/>
    <col width="9" customWidth="1" style="22" min="2" max="2"/>
    <col width="44" customWidth="1" style="22" min="3" max="3"/>
    <col width="38" customWidth="1" style="22" min="4" max="4"/>
    <col width="34" customWidth="1" style="22" min="5" max="5"/>
    <col width="12" customWidth="1" style="22" min="6" max="6"/>
  </cols>
  <sheetData>
    <row r="1" ht="17.45" customHeight="1" s="22">
      <c r="A1" s="1" t="inlineStr">
        <is>
          <t>Thang điểm Xưởng (10 điểm) · trợ giảng ghi phần máy chấm, giảng viên chấm phần viết</t>
        </is>
      </c>
    </row>
    <row r="2" ht="18" customHeight="1" s="22">
      <c r="A2" s="24" t="inlineStr">
        <is>
          <t>Chấm theo mô tả; điểm lẻ 0,25 khi bài nằm giữa hai mức. Cột "Tự kiểm tra" lấy từ trang Xưởng: chỉ để tham khảo, không thay cho việc đọc bài.</t>
        </is>
      </c>
    </row>
    <row r="4" ht="18" customHeight="1" s="22">
      <c r="A4" s="29" t="inlineStr">
        <is>
          <t>Phần</t>
        </is>
      </c>
      <c r="B4" s="29" t="inlineStr">
        <is>
          <t>Tối đa</t>
        </is>
      </c>
      <c r="C4" s="29" t="inlineStr">
        <is>
          <t>Đủ điểm</t>
        </is>
      </c>
      <c r="D4" s="29" t="inlineStr">
        <is>
          <t>Một nửa</t>
        </is>
      </c>
      <c r="E4" s="29" t="inlineStr">
        <is>
          <t>Không điểm</t>
        </is>
      </c>
      <c r="F4" s="29" t="inlineStr">
        <is>
          <t>Điểm chấm</t>
        </is>
      </c>
    </row>
    <row r="5" ht="33" customHeight="1" s="22">
      <c r="A5" s="26" t="inlineStr">
        <is>
          <t>X1</t>
        </is>
      </c>
      <c r="B5" s="16" t="n">
        <v>1</v>
      </c>
      <c r="C5" s="28" t="inlineStr">
        <is>
          <t>Có đủ đầu vào, đầu ra kiểm được và ràng buộc bằng số; nói rõ ca nào chuyển người</t>
        </is>
      </c>
      <c r="D5" s="28" t="inlineStr">
        <is>
          <t>Có câu nhưng thiếu ràng buộc hoặc đầu ra không kiểm được</t>
        </is>
      </c>
      <c r="E5" s="28" t="inlineStr">
        <is>
          <t>Mục tiêu chung chung ("trả lời tốt hơn")</t>
        </is>
      </c>
      <c r="F5" s="12" t="n"/>
    </row>
    <row r="6" ht="33" customHeight="1" s="22">
      <c r="A6" s="26" t="inlineStr">
        <is>
          <t>X2</t>
        </is>
      </c>
      <c r="B6" s="16" t="n">
        <v>1</v>
      </c>
      <c r="C6" s="28" t="inlineStr">
        <is>
          <t>3 chiều đều qua phép thử, ghi rõ hành vi đổi thế nào; số đầu vào 40–50</t>
        </is>
      </c>
      <c r="D6" s="28" t="inlineStr">
        <is>
          <t>2 chiều qua phép thử hoặc số đầu vào ngoài khoảng</t>
        </is>
      </c>
      <c r="E6" s="28" t="inlineStr">
        <is>
          <t>Chọn thuộc tính chỉ là cách diễn đạt (lịch sự, độ dài)</t>
        </is>
      </c>
      <c r="F6" s="12" t="n"/>
    </row>
    <row r="7" ht="33" customHeight="1" s="22">
      <c r="A7" s="26" t="inlineStr">
        <is>
          <t>X3</t>
        </is>
      </c>
      <c r="B7" s="16" t="n">
        <v>2</v>
      </c>
      <c r="C7" s="28" t="inlineStr">
        <is>
          <t>8 tình huống, đủ 3 loại, ≥ 3 thử thách; hành vi đúng cụ thể, dẫn chính sách</t>
        </is>
      </c>
      <c r="D7" s="28" t="inlineStr">
        <is>
          <t>Thiếu 1 loại hoặc hành vi đúng còn chung chung</t>
        </is>
      </c>
      <c r="E7" s="28" t="inlineStr">
        <is>
          <t>Ít hơn 6 tình huống hoặc toàn tình huống dễ</t>
        </is>
      </c>
      <c r="F7" s="12" t="n"/>
    </row>
    <row r="8" ht="33" customHeight="1" s="22">
      <c r="A8" s="26" t="inlineStr">
        <is>
          <t>X4</t>
        </is>
      </c>
      <c r="B8" s="16" t="n">
        <v>1.5</v>
      </c>
      <c r="C8" s="28" t="inlineStr">
        <is>
          <t>Đúng bước và đúng mã lỗi gốc ở cả 3 vết (0,25 điểm mỗi ô đúng)</t>
        </is>
      </c>
      <c r="D8" s="28" t="inlineStr">
        <is>
          <t>Đúng một trong hai ô (bước hoặc mã) ở mỗi vết</t>
        </is>
      </c>
      <c r="E8" s="28" t="inlineStr">
        <is>
          <t>Sai cả bước và mã; cột “Nên sửa ở đâu” chỉ để nhận xét, không tính điểm</t>
        </is>
      </c>
      <c r="F8" s="12" t="n"/>
    </row>
    <row r="9" ht="48" customHeight="1" s="22">
      <c r="A9" s="26" t="inlineStr">
        <is>
          <t>X5</t>
        </is>
      </c>
      <c r="B9" s="16" t="n">
        <v>2</v>
      </c>
      <c r="C9" s="28" t="inlineStr">
        <is>
          <t>4 tiêu chí nhị phân, có ví dụ sát ranh hai phía, bộ chấm đúng căn cứ kiểm chứng, có ngưỡng (0,5 mỗi tiêu chí)</t>
        </is>
      </c>
      <c r="D9" s="28" t="inlineStr">
        <is>
          <t>Thiếu ví dụ sát ranh hoặc thiếu ngưỡng</t>
        </is>
      </c>
      <c r="E9" s="28" t="inlineStr">
        <is>
          <t>Dùng từ mơ hồ ("phù hợp", "hợp lý") hoặc thang điểm</t>
        </is>
      </c>
      <c r="F9" s="12" t="n"/>
    </row>
    <row r="10" ht="33" customHeight="1" s="22">
      <c r="A10" s="26" t="inlineStr">
        <is>
          <t>X6</t>
        </is>
      </c>
      <c r="B10" s="16" t="n">
        <v>1</v>
      </c>
      <c r="C10" s="28" t="inlineStr">
        <is>
          <t>Đếm đúng 4 ô, TPR và TNR đúng, chọn đúng kết luận B</t>
        </is>
      </c>
      <c r="D10" s="28" t="inlineStr">
        <is>
          <t>Số đúng nhưng kết luận sai</t>
        </is>
      </c>
      <c r="E10" s="28" t="inlineStr">
        <is>
          <t>Đếm sai ô</t>
        </is>
      </c>
      <c r="F10" s="12" t="n"/>
    </row>
    <row r="11" ht="48" customHeight="1" s="22">
      <c r="A11" s="26" t="inlineStr">
        <is>
          <t>X7</t>
        </is>
      </c>
      <c r="B11" s="16" t="n">
        <v>1.5</v>
      </c>
      <c r="C11" s="28" t="inlineStr">
        <is>
          <t>Chọn Phát hành, kế hoạch có mẫu %, 3 tín hiệu, ngưỡng cảnh báo bằng số; trả lời đúng 3 câu số liệu</t>
        </is>
      </c>
      <c r="D11" s="28" t="inlineStr">
        <is>
          <t>Đúng kết luận, kế hoạch thiếu số</t>
        </is>
      </c>
      <c r="E11" s="28" t="inlineStr">
        <is>
          <t>Chọn Lặp tiếp vì Ghi nhận cảm xúc giảm 2 điểm (đó là nhiễu)</t>
        </is>
      </c>
      <c r="F11" s="12" t="n"/>
    </row>
    <row r="12" ht="18" customHeight="1" s="22">
      <c r="A12" s="26" t="inlineStr">
        <is>
          <t>Tổng</t>
        </is>
      </c>
      <c r="B12" s="17">
        <f>SUM(B5:B11)</f>
        <v/>
      </c>
      <c r="F12" s="18">
        <f>IF(COUNT(F5:F11)=0,"",SUM(F5:F11))</f>
        <v/>
      </c>
    </row>
  </sheetData>
  <sheetProtection selectLockedCells="0" selectUnlockedCells="0" sheet="1" objects="0" insertRows="1" insertHyperlinks="1" autoFilter="1" scenarios="0" formatColumns="1" deleteColumns="1" insertColumns="1" pivotTables="1" deleteRows="1" formatCells="1" formatRows="1" sort="1" password="C716"/>
  <mergeCells count="1">
    <mergeCell ref="A2:F2"/>
  </mergeCells>
  <pageMargins left="0.75" right="0.75" top="1" bottom="1" header="0.511811023622047" footer="0.511811023622047"/>
  <pageSetup orientation="landscape" paperSize="9" fitToHeight="0" horizontalDpi="300" verticalDpi="300"/>
</worksheet>
</file>

<file path=xl/worksheets/sheet10.xml><?xml version="1.0" encoding="utf-8"?>
<worksheet xmlns="http://schemas.openxmlformats.org/spreadsheetml/2006/main">
  <sheetPr>
    <outlinePr summaryBelow="1" summaryRight="1"/>
    <pageSetUpPr fitToPage="1"/>
  </sheetPr>
  <dimension ref="A1:D17"/>
  <sheetViews>
    <sheetView zoomScaleNormal="100" workbookViewId="0">
      <selection activeCell="A1" sqref="A1"/>
    </sheetView>
  </sheetViews>
  <sheetFormatPr baseColWidth="8" defaultColWidth="8.7109375" defaultRowHeight="15"/>
  <cols>
    <col width="12" customWidth="1" style="22" min="1" max="1"/>
    <col width="52" customWidth="1" style="22" min="2" max="2"/>
    <col width="14" customWidth="1" style="22" min="3" max="3"/>
    <col width="12" customWidth="1" style="22" min="4" max="4"/>
  </cols>
  <sheetData>
    <row r="1" ht="17.45" customHeight="1" s="22">
      <c r="A1" s="1" t="inlineStr">
        <is>
          <t>Tổng hợp kết quả tự kiểm tra</t>
        </is>
      </c>
    </row>
    <row r="3" ht="18" customHeight="1" s="22">
      <c r="A3" s="29" t="inlineStr">
        <is>
          <t>Bài</t>
        </is>
      </c>
      <c r="B3" s="29" t="inlineStr">
        <is>
          <t>Nội dung</t>
        </is>
      </c>
      <c r="C3" s="29" t="inlineStr">
        <is>
          <t>Số câu đúng</t>
        </is>
      </c>
      <c r="D3" s="29" t="inlineStr">
        <is>
          <t>Tổng số câu</t>
        </is>
      </c>
    </row>
    <row r="4" ht="18" customHeight="1" s="22">
      <c r="A4" s="26" t="inlineStr">
        <is>
          <t>Bài 1</t>
        </is>
      </c>
      <c r="B4" s="28" t="inlineStr">
        <is>
          <t>Đọc báo cáo đánh giá và thu hẹp phạm vi</t>
        </is>
      </c>
      <c r="C4" s="13">
        <f>'Bài 1'!C29</f>
        <v/>
      </c>
      <c r="D4" s="19" t="n">
        <v>9</v>
      </c>
    </row>
    <row r="5" ht="18" customHeight="1" s="22">
      <c r="A5" s="26" t="inlineStr">
        <is>
          <t>Bài 2</t>
        </is>
      </c>
      <c r="B5" s="28" t="inlineStr">
        <is>
          <t>Phủ ca và chọn tình huống</t>
        </is>
      </c>
      <c r="C5" s="13">
        <f>'Bài 2'!C25</f>
        <v/>
      </c>
      <c r="D5" s="19" t="n">
        <v>14</v>
      </c>
    </row>
    <row r="6" ht="18" customHeight="1" s="22">
      <c r="A6" s="26" t="inlineStr">
        <is>
          <t>Bài 3</t>
        </is>
      </c>
      <c r="B6" s="28" t="inlineStr">
        <is>
          <t>Đọc vết thực thi, tìm bước sai đầu tiên</t>
        </is>
      </c>
      <c r="C6" s="13">
        <f>'Bài 3'!C39</f>
        <v/>
      </c>
      <c r="D6" s="19" t="n">
        <v>9</v>
      </c>
    </row>
    <row r="7" ht="18" customHeight="1" s="22">
      <c r="A7" s="26" t="inlineStr">
        <is>
          <t>Bài 4</t>
        </is>
      </c>
      <c r="B7" s="28" t="inlineStr">
        <is>
          <t>Chọn cách chấm và ra kết luận</t>
        </is>
      </c>
      <c r="C7" s="13">
        <f>'Bài 4'!C33</f>
        <v/>
      </c>
      <c r="D7" s="19" t="n">
        <v>15</v>
      </c>
    </row>
    <row r="8" ht="18" customHeight="1" s="22">
      <c r="A8" s="26" t="inlineStr">
        <is>
          <t>Bài 5</t>
        </is>
      </c>
      <c r="B8" s="28" t="inlineStr">
        <is>
          <t>Hiệu chỉnh giám khảo AI</t>
        </is>
      </c>
      <c r="C8" s="13">
        <f>'Bài 5'!C44</f>
        <v/>
      </c>
      <c r="D8" s="19" t="n">
        <v>18</v>
      </c>
    </row>
    <row r="10" ht="18" customHeight="1" s="22">
      <c r="A10" s="31" t="inlineStr">
        <is>
          <t>Xưởng · các ô tự kiểm tra</t>
        </is>
      </c>
    </row>
    <row r="11" ht="18" customHeight="1" s="22">
      <c r="A11" s="26" t="inlineStr">
        <is>
          <t>X1</t>
        </is>
      </c>
      <c r="B11" s="28" t="inlineStr">
        <is>
          <t>Đơn vị công việc AI</t>
        </is>
      </c>
      <c r="C11" s="20">
        <f>Xưởng!G7</f>
        <v/>
      </c>
    </row>
    <row r="12" ht="18" customHeight="1" s="22">
      <c r="A12" s="26" t="inlineStr">
        <is>
          <t>X2</t>
        </is>
      </c>
      <c r="B12" s="28" t="inlineStr">
        <is>
          <t>Chiều và phễu</t>
        </is>
      </c>
      <c r="C12" s="20">
        <f>Xưởng!D20</f>
        <v/>
      </c>
    </row>
    <row r="13" ht="18" customHeight="1" s="22">
      <c r="A13" s="26" t="inlineStr">
        <is>
          <t>X3</t>
        </is>
      </c>
      <c r="B13" s="28" t="inlineStr">
        <is>
          <t>8 tình huống</t>
        </is>
      </c>
      <c r="C13" s="20">
        <f>Xưởng!C36</f>
        <v/>
      </c>
    </row>
    <row r="14" ht="18" customHeight="1" s="22">
      <c r="A14" s="26" t="inlineStr">
        <is>
          <t>X4</t>
        </is>
      </c>
      <c r="B14" s="28" t="inlineStr">
        <is>
          <t>Đọc 3 vết thực thi mới</t>
        </is>
      </c>
      <c r="C14" s="13">
        <f>COUNTIF(Xưởng!F56:G58,"Đúng")</f>
        <v/>
      </c>
      <c r="D14" s="28" t="inlineStr">
        <is>
          <t>/ 6 ô</t>
        </is>
      </c>
    </row>
    <row r="15" ht="18" customHeight="1" s="22">
      <c r="A15" s="26" t="inlineStr">
        <is>
          <t>X5</t>
        </is>
      </c>
      <c r="B15" s="28" t="inlineStr">
        <is>
          <t>4 tiêu chí nhị phân</t>
        </is>
      </c>
      <c r="C15" s="20">
        <f>Xưởng!C67</f>
        <v/>
      </c>
    </row>
    <row r="16" ht="18" customHeight="1" s="22">
      <c r="A16" s="26" t="inlineStr">
        <is>
          <t>X6</t>
        </is>
      </c>
      <c r="B16" s="28" t="inlineStr">
        <is>
          <t>Hiệu chỉnh giám khảo</t>
        </is>
      </c>
      <c r="C16" s="13">
        <f>COUNTIF(Xưởng!G72:G84,"Đúng")</f>
        <v/>
      </c>
      <c r="D16" s="28" t="inlineStr">
        <is>
          <t>/ 5 ô</t>
        </is>
      </c>
    </row>
    <row r="17" ht="18" customHeight="1" s="22">
      <c r="A17" s="26" t="inlineStr">
        <is>
          <t>X7</t>
        </is>
      </c>
      <c r="B17" s="28" t="inlineStr">
        <is>
          <t>Kết luận có răng</t>
        </is>
      </c>
      <c r="C17" s="13">
        <f>COUNTIF(Xưởng!D105:D112,"Đúng")</f>
        <v/>
      </c>
      <c r="D17" s="28" t="inlineStr">
        <is>
          <t>/ 4 ô</t>
        </is>
      </c>
    </row>
  </sheetData>
  <sheetProtection selectLockedCells="0" selectUnlockedCells="0" sheet="1" objects="0" insertRows="1" insertHyperlinks="1" autoFilter="1" scenarios="0" formatColumns="1" deleteColumns="1" insertColumns="1" pivotTables="1" deleteRows="1" formatCells="1" formatRows="1" sort="1" password="C716"/>
  <mergeCells count="1">
    <mergeCell ref="A10:D10"/>
  </mergeCells>
  <pageMargins left="0.75" right="0.75" top="1" bottom="1" header="0.511811023622047" footer="0.511811023622047"/>
  <pageSetup orientation="landscape" paperSize="9" fitToHeight="0" horizontalDpi="300" verticalDpi="300"/>
</worksheet>
</file>

<file path=xl/worksheets/sheet11.xml><?xml version="1.0" encoding="utf-8"?>
<worksheet xmlns="http://schemas.openxmlformats.org/spreadsheetml/2006/main">
  <sheetPr>
    <outlinePr summaryBelow="1" summaryRight="1"/>
    <pageSetUpPr fitToPage="1"/>
  </sheetPr>
  <dimension ref="A1:N5"/>
  <sheetViews>
    <sheetView zoomScaleNormal="100" workbookViewId="0">
      <selection activeCell="A1" sqref="A1"/>
    </sheetView>
  </sheetViews>
  <sheetFormatPr baseColWidth="8" defaultColWidth="8.7109375" defaultRowHeight="15"/>
  <sheetData>
    <row r="1" ht="15" customHeight="1" s="22">
      <c r="A1" t="inlineStr">
        <is>
          <t>Có</t>
        </is>
      </c>
      <c r="B1" t="inlineStr">
        <is>
          <t>A</t>
        </is>
      </c>
      <c r="C1" t="inlineStr">
        <is>
          <t>Khoảng 100 ca</t>
        </is>
      </c>
      <c r="D1" t="inlineStr">
        <is>
          <t>Trục 1</t>
        </is>
      </c>
      <c r="E1" t="inlineStr">
        <is>
          <t>Đại diện</t>
        </is>
      </c>
      <c r="F1" t="inlineStr">
        <is>
          <t>wrong_intent</t>
        </is>
      </c>
      <c r="G1" t="inlineStr">
        <is>
          <t>Thiếu đặc tả → sửa câu lệnh</t>
        </is>
      </c>
      <c r="H1" t="inlineStr">
        <is>
          <t>Mã lệnh</t>
        </is>
      </c>
      <c r="I1" t="inlineStr">
        <is>
          <t>Đạt · đúng 1 nhãn</t>
        </is>
      </c>
      <c r="J1" t="inlineStr">
        <is>
          <t>Phát hành</t>
        </is>
      </c>
      <c r="K1" t="inlineStr">
        <is>
          <t>Sửa câu lệnh</t>
        </is>
      </c>
      <c r="L1" t="inlineStr">
        <is>
          <t>Cho qua lỗi</t>
        </is>
      </c>
      <c r="M1" t="inlineStr">
        <is>
          <t>Đúng</t>
        </is>
      </c>
      <c r="N1" t="inlineStr">
        <is>
          <t>Mã lệnh</t>
        </is>
      </c>
    </row>
    <row r="2" ht="15" customHeight="1" s="22">
      <c r="A2" t="inlineStr">
        <is>
          <t>Không</t>
        </is>
      </c>
      <c r="B2" t="inlineStr">
        <is>
          <t>B</t>
        </is>
      </c>
      <c r="C2" t="inlineStr">
        <is>
          <t>Khoảng 1.000 ca</t>
        </is>
      </c>
      <c r="D2" t="inlineStr">
        <is>
          <t>Trục 2</t>
        </is>
      </c>
      <c r="E2" t="inlineStr">
        <is>
          <t>Thử thách</t>
        </is>
      </c>
      <c r="F2" t="inlineStr">
        <is>
          <t>missing_lookup</t>
        </is>
      </c>
      <c r="G2" t="inlineStr">
        <is>
          <t>Thiếu năng lực hệ thống → sửa kỹ thuật</t>
        </is>
      </c>
      <c r="H2" t="inlineStr">
        <is>
          <t>Giám khảo AI</t>
        </is>
      </c>
      <c r="I2" t="inlineStr">
        <is>
          <t>Không đạt · không có nhãn hợp lệ</t>
        </is>
      </c>
      <c r="J2" t="inlineStr">
        <is>
          <t>Lặp tiếp</t>
        </is>
      </c>
      <c r="K2" t="inlineStr">
        <is>
          <t>Đổi mô hình</t>
        </is>
      </c>
      <c r="L2" t="inlineStr">
        <is>
          <t>Chặn nhầm</t>
        </is>
      </c>
      <c r="M2" t="inlineStr">
        <is>
          <t>Sai</t>
        </is>
      </c>
      <c r="N2" t="inlineStr">
        <is>
          <t>Giám khảo AI</t>
        </is>
      </c>
    </row>
    <row r="3" ht="15" customHeight="1" s="22">
      <c r="B3" t="inlineStr">
        <is>
          <t>C</t>
        </is>
      </c>
      <c r="C3" t="inlineStr">
        <is>
          <t>Khoảng 10.000 ca</t>
        </is>
      </c>
      <c r="D3" t="inlineStr">
        <is>
          <t>Trục 3</t>
        </is>
      </c>
      <c r="E3" t="inlineStr">
        <is>
          <t>Hồi quy nghiêm trọng</t>
        </is>
      </c>
      <c r="F3" t="inlineStr">
        <is>
          <t>premature_commit</t>
        </is>
      </c>
      <c r="G3" t="inlineStr">
        <is>
          <t>Lúc được lúc không → viết bài đánh giá tự động</t>
        </is>
      </c>
      <c r="H3" t="inlineStr">
        <is>
          <t>Người quyết</t>
        </is>
      </c>
      <c r="I3" t="inlineStr">
        <is>
          <t>Không đạt · nhiều hơn 1 nhãn</t>
        </is>
      </c>
      <c r="J3" t="inlineStr">
        <is>
          <t>Quay về bản cũ</t>
        </is>
      </c>
      <c r="K3" t="inlineStr">
        <is>
          <t>Đổi kiến trúc</t>
        </is>
      </c>
      <c r="N3" t="inlineStr">
        <is>
          <t>Người quyết</t>
        </is>
      </c>
    </row>
    <row r="4" ht="15" customHeight="1" s="22">
      <c r="F4" t="inlineStr">
        <is>
          <t>missing_escalation</t>
        </is>
      </c>
      <c r="N4" t="inlineStr">
        <is>
          <t>Mã lệnh (lời gọi công cụ) + người kiểm mẫu 10%</t>
        </is>
      </c>
    </row>
    <row r="5" ht="15" customHeight="1" s="22">
      <c r="F5" t="inlineStr">
        <is>
          <t>no_next_step</t>
        </is>
      </c>
    </row>
  </sheetData>
  <sheetProtection selectLockedCells="0" selectUnlockedCells="0" sheet="1" objects="0" insertRows="1" insertHyperlinks="1" autoFilter="1" scenarios="0" formatColumns="1" deleteColumns="1" insertColumns="1" pivotTables="1" deleteRows="1" formatCells="1" formatRows="1" sort="1" password="C716"/>
  <pageMargins left="0.75" right="0.75" top="1" bottom="1" header="0.511811023622047" footer="0.511811023622047"/>
  <pageSetup orientation="landscape" paperSize="9" fitToHeight="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2026-10-14T16:05:47Z</dcterms:created>
  <dcterms:modified xmlns:dcterms="http://purl.org/dc/terms/" xmlns:xsi="http://www.w3.org/2001/XMLSchema-instance" xsi:type="dcterms:W3CDTF">2026-10-16T10:11:44Z</dcterms:modified>
  <cp:lastModifiedBy>hải store342</cp:lastModifiedBy>
  <cp:revision>0</cp:revision>
</cp:coreProperties>
</file>